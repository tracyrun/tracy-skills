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资估算表" sheetId="1" state="visible" r:id="rId1"/>
    <sheet xmlns:r="http://schemas.openxmlformats.org/officeDocument/2006/relationships" name="编制说明" sheetId="2" state="visible" r:id="rId2"/>
    <sheet xmlns:r="http://schemas.openxmlformats.org/officeDocument/2006/relationships" name="投资构成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9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0" fillId="3" borderId="1" pivotButton="0" quotePrefix="0" xfId="0"/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7" customWidth="1" min="8" max="8"/>
    <col width="10" customWidth="1" min="9" max="9"/>
    <col width="13" customWidth="1" min="10" max="10"/>
    <col width="18" customWidth="1" min="11" max="11"/>
    <col width="8" customWidth="1" min="12" max="12"/>
  </cols>
  <sheetData>
    <row r="1" ht="30" customHeight="1">
      <c r="A1" s="1" t="inlineStr">
        <is>
          <t>德阳市大宗货物（旌北新区）物流基地项目 — 投资估算表</t>
        </is>
      </c>
    </row>
    <row r="2">
      <c r="A2" s="2" t="inlineStr">
        <is>
          <t>金额单位：万元</t>
        </is>
      </c>
    </row>
    <row r="4" ht="22" customHeight="1">
      <c r="A4" s="3" t="inlineStr">
        <is>
          <t>序号</t>
        </is>
      </c>
      <c r="B4" s="3" t="inlineStr">
        <is>
          <t>项目和费用名称</t>
        </is>
      </c>
      <c r="C4" s="3" t="inlineStr">
        <is>
          <t>估算价值（万元）</t>
        </is>
      </c>
      <c r="H4" s="3" t="inlineStr">
        <is>
          <t>技术经济指标</t>
        </is>
      </c>
      <c r="K4" s="3" t="inlineStr">
        <is>
          <t>备注</t>
        </is>
      </c>
      <c r="L4" s="3" t="inlineStr">
        <is>
          <t>比例
（%）</t>
        </is>
      </c>
    </row>
    <row r="5" ht="35" customHeight="1">
      <c r="A5" s="4" t="n"/>
      <c r="B5" s="4" t="n"/>
      <c r="C5" s="3" t="inlineStr">
        <is>
          <t>建筑工程费</t>
        </is>
      </c>
      <c r="D5" s="3" t="inlineStr">
        <is>
          <t>安装工程费</t>
        </is>
      </c>
      <c r="E5" s="3" t="inlineStr">
        <is>
          <t>设备购置费</t>
        </is>
      </c>
      <c r="F5" s="3" t="inlineStr">
        <is>
          <t>其他费用</t>
        </is>
      </c>
      <c r="G5" s="3" t="inlineStr">
        <is>
          <t>合计</t>
        </is>
      </c>
      <c r="H5" s="3" t="inlineStr">
        <is>
          <t>单位</t>
        </is>
      </c>
      <c r="I5" s="3" t="inlineStr">
        <is>
          <t>数量</t>
        </is>
      </c>
      <c r="J5" s="3" t="inlineStr">
        <is>
          <t>单位价值
（元/单位）</t>
        </is>
      </c>
      <c r="K5" s="4" t="n"/>
      <c r="L5" s="4" t="n"/>
    </row>
    <row r="6">
      <c r="A6" s="5" t="inlineStr">
        <is>
          <t>一</t>
        </is>
      </c>
      <c r="B6" s="6" t="inlineStr">
        <is>
          <t>工程费用</t>
        </is>
      </c>
      <c r="C6" s="7">
        <f>G7</f>
        <v/>
      </c>
      <c r="D6" s="7">
        <f>G15</f>
        <v/>
      </c>
      <c r="E6" s="7">
        <f>G21</f>
        <v/>
      </c>
      <c r="F6" s="7">
        <f>G27</f>
        <v/>
      </c>
      <c r="G6" s="7">
        <f>G7+G15+G21+G27</f>
        <v/>
      </c>
      <c r="H6" s="8" t="n"/>
      <c r="I6" s="8" t="n"/>
      <c r="J6" s="8" t="n"/>
      <c r="K6" s="8" t="n"/>
      <c r="L6" s="9" t="n">
        <v>0.722</v>
      </c>
    </row>
    <row r="7">
      <c r="A7" s="10" t="inlineStr">
        <is>
          <t>1</t>
        </is>
      </c>
      <c r="B7" s="11" t="inlineStr">
        <is>
          <t>建筑工程</t>
        </is>
      </c>
      <c r="C7" s="12" t="n"/>
      <c r="D7" s="12" t="n"/>
      <c r="E7" s="12" t="n"/>
      <c r="F7" s="12" t="n"/>
      <c r="G7" s="13">
        <f>SUM(G8:G14)</f>
        <v/>
      </c>
      <c r="H7" s="14" t="n"/>
      <c r="I7" s="14" t="n"/>
      <c r="J7" s="14" t="n"/>
      <c r="K7" s="14" t="n"/>
      <c r="L7" s="15" t="n">
        <v>0.528</v>
      </c>
    </row>
    <row r="8">
      <c r="A8" s="16" t="inlineStr">
        <is>
          <t>1.1</t>
        </is>
      </c>
      <c r="B8" s="17" t="inlineStr">
        <is>
          <t>大宗物流仓（钢结构）</t>
        </is>
      </c>
      <c r="C8" s="18" t="n"/>
      <c r="D8" s="18" t="n"/>
      <c r="E8" s="18" t="n"/>
      <c r="F8" s="18" t="n"/>
      <c r="G8" s="19">
        <f>I8*J8/10000</f>
        <v/>
      </c>
      <c r="H8" s="16" t="inlineStr">
        <is>
          <t>㎡</t>
        </is>
      </c>
      <c r="I8" s="20" t="n">
        <v>123000</v>
      </c>
      <c r="J8" s="20" t="n">
        <v>1420</v>
      </c>
      <c r="K8" s="17" t="inlineStr">
        <is>
          <t>9栋，含基础、钢构、彩板围护</t>
        </is>
      </c>
      <c r="L8" s="21" t="n">
        <v>0.333</v>
      </c>
    </row>
    <row r="9">
      <c r="A9" s="16" t="inlineStr">
        <is>
          <t>1.2</t>
        </is>
      </c>
      <c r="B9" s="17" t="inlineStr">
        <is>
          <t>中转仓（钢结构+装卸平台）</t>
        </is>
      </c>
      <c r="C9" s="18" t="n"/>
      <c r="D9" s="18" t="n"/>
      <c r="E9" s="18" t="n"/>
      <c r="F9" s="18" t="n"/>
      <c r="G9" s="19">
        <f>I9*J9/10000</f>
        <v/>
      </c>
      <c r="H9" s="16" t="inlineStr">
        <is>
          <t>㎡</t>
        </is>
      </c>
      <c r="I9" s="20" t="n">
        <v>15000</v>
      </c>
      <c r="J9" s="20" t="n">
        <v>1650</v>
      </c>
      <c r="K9" s="17" t="inlineStr">
        <is>
          <t>10#楼，含卸货平台</t>
        </is>
      </c>
      <c r="L9" s="21" t="n">
        <v>0.047</v>
      </c>
    </row>
    <row r="10">
      <c r="A10" s="16" t="inlineStr">
        <is>
          <t>1.3</t>
        </is>
      </c>
      <c r="B10" s="17" t="inlineStr">
        <is>
          <t>冷库（含保温+制冷）</t>
        </is>
      </c>
      <c r="C10" s="18" t="n"/>
      <c r="D10" s="18" t="n"/>
      <c r="E10" s="18" t="n"/>
      <c r="F10" s="18" t="n"/>
      <c r="G10" s="19">
        <f>I10*J10/10000</f>
        <v/>
      </c>
      <c r="H10" s="16" t="inlineStr">
        <is>
          <t>㎡</t>
        </is>
      </c>
      <c r="I10" s="20" t="n">
        <v>8000</v>
      </c>
      <c r="J10" s="20" t="n">
        <v>6500</v>
      </c>
      <c r="K10" s="17" t="inlineStr">
        <is>
          <t>9#楼，含保温及制冷系统</t>
        </is>
      </c>
      <c r="L10" s="21" t="n">
        <v>0.099</v>
      </c>
    </row>
    <row r="11">
      <c r="A11" s="16" t="inlineStr">
        <is>
          <t>1.4</t>
        </is>
      </c>
      <c r="B11" s="17" t="inlineStr">
        <is>
          <t>机修间</t>
        </is>
      </c>
      <c r="C11" s="18" t="n"/>
      <c r="D11" s="18" t="n"/>
      <c r="E11" s="18" t="n"/>
      <c r="F11" s="18" t="n"/>
      <c r="G11" s="19">
        <f>I11*J11/10000</f>
        <v/>
      </c>
      <c r="H11" s="16" t="inlineStr">
        <is>
          <t>㎡</t>
        </is>
      </c>
      <c r="I11" s="20" t="n">
        <v>2500</v>
      </c>
      <c r="J11" s="20" t="n">
        <v>2050</v>
      </c>
      <c r="K11" s="17" t="inlineStr">
        <is>
          <t>框架结构</t>
        </is>
      </c>
      <c r="L11" s="21" t="n">
        <v>0.01</v>
      </c>
    </row>
    <row r="12">
      <c r="A12" s="16" t="inlineStr">
        <is>
          <t>1.5</t>
        </is>
      </c>
      <c r="B12" s="17" t="inlineStr">
        <is>
          <t>设备用房</t>
        </is>
      </c>
      <c r="C12" s="18" t="n"/>
      <c r="D12" s="18" t="n"/>
      <c r="E12" s="18" t="n"/>
      <c r="F12" s="18" t="n"/>
      <c r="G12" s="19">
        <f>I12*J12/10000</f>
        <v/>
      </c>
      <c r="H12" s="16" t="inlineStr">
        <is>
          <t>㎡</t>
        </is>
      </c>
      <c r="I12" s="20" t="n">
        <v>3000</v>
      </c>
      <c r="J12" s="20" t="n">
        <v>2550</v>
      </c>
      <c r="K12" s="17" t="inlineStr">
        <is>
          <t>含变配电、消防泵房、监控室</t>
        </is>
      </c>
      <c r="L12" s="21" t="n">
        <v>0.015</v>
      </c>
    </row>
    <row r="13">
      <c r="A13" s="16" t="inlineStr">
        <is>
          <t>1.6</t>
        </is>
      </c>
      <c r="B13" s="17" t="inlineStr">
        <is>
          <t>门卫及大门</t>
        </is>
      </c>
      <c r="C13" s="18" t="n"/>
      <c r="D13" s="18" t="n"/>
      <c r="E13" s="18" t="n"/>
      <c r="F13" s="18" t="n"/>
      <c r="G13" s="19">
        <f>I13*J13/10000</f>
        <v/>
      </c>
      <c r="H13" s="16" t="inlineStr">
        <is>
          <t>㎡</t>
        </is>
      </c>
      <c r="I13" s="20" t="n">
        <v>500</v>
      </c>
      <c r="J13" s="20" t="n">
        <v>2500</v>
      </c>
      <c r="K13" s="17" t="inlineStr">
        <is>
          <t>主次出入口</t>
        </is>
      </c>
      <c r="L13" s="21" t="n">
        <v>0.002</v>
      </c>
    </row>
    <row r="14">
      <c r="A14" s="16" t="inlineStr">
        <is>
          <t>1.7</t>
        </is>
      </c>
      <c r="B14" s="17" t="inlineStr">
        <is>
          <t>其他附属建筑</t>
        </is>
      </c>
      <c r="C14" s="18" t="n"/>
      <c r="D14" s="18" t="n"/>
      <c r="E14" s="18" t="n"/>
      <c r="F14" s="18" t="n"/>
      <c r="G14" s="19">
        <f>I14*J14/10000</f>
        <v/>
      </c>
      <c r="H14" s="16" t="inlineStr">
        <is>
          <t>㎡</t>
        </is>
      </c>
      <c r="I14" s="20" t="n">
        <v>6819</v>
      </c>
      <c r="J14" s="20" t="n">
        <v>1670</v>
      </c>
      <c r="K14" s="17" t="inlineStr">
        <is>
          <t>公厕、休息室等</t>
        </is>
      </c>
      <c r="L14" s="21" t="n">
        <v>0.022</v>
      </c>
    </row>
    <row r="15">
      <c r="A15" s="10" t="inlineStr">
        <is>
          <t>2</t>
        </is>
      </c>
      <c r="B15" s="11" t="inlineStr">
        <is>
          <t>安装工程</t>
        </is>
      </c>
      <c r="C15" s="12" t="n"/>
      <c r="D15" s="12" t="n"/>
      <c r="E15" s="12" t="n"/>
      <c r="F15" s="12" t="n"/>
      <c r="G15" s="13">
        <f>SUM(G16:G20)</f>
        <v/>
      </c>
      <c r="H15" s="14" t="n"/>
      <c r="I15" s="14" t="n"/>
      <c r="J15" s="14" t="n"/>
      <c r="K15" s="14" t="n"/>
      <c r="L15" s="15" t="n">
        <v>0.08699999999999999</v>
      </c>
    </row>
    <row r="16">
      <c r="A16" s="16" t="inlineStr">
        <is>
          <t>2.1</t>
        </is>
      </c>
      <c r="B16" s="17" t="inlineStr">
        <is>
          <t>给排水工程</t>
        </is>
      </c>
      <c r="C16" s="18" t="n"/>
      <c r="D16" s="18" t="n"/>
      <c r="E16" s="18" t="n"/>
      <c r="F16" s="18" t="n"/>
      <c r="G16" s="19">
        <f>I16*J16/10000</f>
        <v/>
      </c>
      <c r="H16" s="16" t="inlineStr">
        <is>
          <t>㎡</t>
        </is>
      </c>
      <c r="I16" s="20" t="n">
        <v>158819</v>
      </c>
      <c r="J16" s="20" t="n">
        <v>35</v>
      </c>
      <c r="K16" s="17" t="inlineStr">
        <is>
          <t>含雨污水管网、给水系统</t>
        </is>
      </c>
      <c r="L16" s="21" t="n">
        <v>0.011</v>
      </c>
    </row>
    <row r="17">
      <c r="A17" s="16" t="inlineStr">
        <is>
          <t>2.2</t>
        </is>
      </c>
      <c r="B17" s="17" t="inlineStr">
        <is>
          <t>供配电工程</t>
        </is>
      </c>
      <c r="C17" s="18" t="n"/>
      <c r="D17" s="18" t="n"/>
      <c r="E17" s="18" t="n"/>
      <c r="F17" s="18" t="n"/>
      <c r="G17" s="19">
        <f>I17*J17/10000</f>
        <v/>
      </c>
      <c r="H17" s="16" t="inlineStr">
        <is>
          <t>㎡</t>
        </is>
      </c>
      <c r="I17" s="20" t="n">
        <v>158819</v>
      </c>
      <c r="J17" s="20" t="n">
        <v>80</v>
      </c>
      <c r="K17" s="17" t="inlineStr">
        <is>
          <t>含高低压配电、照明</t>
        </is>
      </c>
      <c r="L17" s="21" t="n">
        <v>0.024</v>
      </c>
    </row>
    <row r="18">
      <c r="A18" s="16" t="inlineStr">
        <is>
          <t>2.3</t>
        </is>
      </c>
      <c r="B18" s="17" t="inlineStr">
        <is>
          <t>暖通工程</t>
        </is>
      </c>
      <c r="C18" s="18" t="n"/>
      <c r="D18" s="18" t="n"/>
      <c r="E18" s="18" t="n"/>
      <c r="F18" s="18" t="n"/>
      <c r="G18" s="19">
        <f>I18*J18/10000</f>
        <v/>
      </c>
      <c r="H18" s="16" t="inlineStr">
        <is>
          <t>㎡</t>
        </is>
      </c>
      <c r="I18" s="20" t="n">
        <v>158819</v>
      </c>
      <c r="J18" s="20" t="n">
        <v>30</v>
      </c>
      <c r="K18" s="17" t="inlineStr">
        <is>
          <t>通风、排烟</t>
        </is>
      </c>
      <c r="L18" s="21" t="n">
        <v>0.009000000000000001</v>
      </c>
    </row>
    <row r="19">
      <c r="A19" s="16" t="inlineStr">
        <is>
          <t>2.4</t>
        </is>
      </c>
      <c r="B19" s="17" t="inlineStr">
        <is>
          <t>消防工程</t>
        </is>
      </c>
      <c r="C19" s="18" t="n"/>
      <c r="D19" s="18" t="n"/>
      <c r="E19" s="18" t="n"/>
      <c r="F19" s="18" t="n"/>
      <c r="G19" s="19">
        <f>I19*J19/10000</f>
        <v/>
      </c>
      <c r="H19" s="16" t="inlineStr">
        <is>
          <t>㎡</t>
        </is>
      </c>
      <c r="I19" s="20" t="n">
        <v>158819</v>
      </c>
      <c r="J19" s="20" t="n">
        <v>100</v>
      </c>
      <c r="K19" s="17" t="inlineStr">
        <is>
          <t>含消火栓、喷淋、报警</t>
        </is>
      </c>
      <c r="L19" s="21" t="n">
        <v>0.03</v>
      </c>
    </row>
    <row r="20">
      <c r="A20" s="16" t="inlineStr">
        <is>
          <t>2.5</t>
        </is>
      </c>
      <c r="B20" s="17" t="inlineStr">
        <is>
          <t>智能化工程</t>
        </is>
      </c>
      <c r="C20" s="18" t="n"/>
      <c r="D20" s="18" t="n"/>
      <c r="E20" s="18" t="n"/>
      <c r="F20" s="18" t="n"/>
      <c r="G20" s="19">
        <f>I20*J20/10000</f>
        <v/>
      </c>
      <c r="H20" s="16" t="inlineStr">
        <is>
          <t>㎡</t>
        </is>
      </c>
      <c r="I20" s="20" t="n">
        <v>158819</v>
      </c>
      <c r="J20" s="20" t="n">
        <v>40</v>
      </c>
      <c r="K20" s="17" t="inlineStr">
        <is>
          <t>含监控、网络、WMS基础设施</t>
        </is>
      </c>
      <c r="L20" s="21" t="n">
        <v>0.012</v>
      </c>
    </row>
    <row r="21">
      <c r="A21" s="10" t="inlineStr">
        <is>
          <t>3</t>
        </is>
      </c>
      <c r="B21" s="11" t="inlineStr">
        <is>
          <t>设备购置费</t>
        </is>
      </c>
      <c r="C21" s="12" t="n"/>
      <c r="D21" s="12" t="n"/>
      <c r="E21" s="12" t="n"/>
      <c r="F21" s="12" t="n"/>
      <c r="G21" s="13">
        <f>SUM(G22:G26)</f>
        <v/>
      </c>
      <c r="H21" s="14" t="n"/>
      <c r="I21" s="14" t="n"/>
      <c r="J21" s="14" t="n"/>
      <c r="K21" s="14" t="n"/>
      <c r="L21" s="15" t="n">
        <v>0.048</v>
      </c>
    </row>
    <row r="22">
      <c r="A22" s="16" t="inlineStr">
        <is>
          <t>3.1</t>
        </is>
      </c>
      <c r="B22" s="17" t="inlineStr">
        <is>
          <t>叉车</t>
        </is>
      </c>
      <c r="C22" s="18" t="n"/>
      <c r="D22" s="18" t="n"/>
      <c r="E22" s="18" t="n"/>
      <c r="F22" s="18" t="n"/>
      <c r="G22" s="19">
        <f>I22*J22/10000</f>
        <v/>
      </c>
      <c r="H22" s="16" t="inlineStr">
        <is>
          <t>台</t>
        </is>
      </c>
      <c r="I22" s="20" t="n">
        <v>16</v>
      </c>
      <c r="J22" s="20" t="n">
        <v>150000</v>
      </c>
      <c r="K22" s="17" t="inlineStr">
        <is>
          <t>含电动8台、内燃8台</t>
        </is>
      </c>
      <c r="L22" s="21" t="n">
        <v>0.005</v>
      </c>
    </row>
    <row r="23">
      <c r="A23" s="16" t="inlineStr">
        <is>
          <t>3.2</t>
        </is>
      </c>
      <c r="B23" s="17" t="inlineStr">
        <is>
          <t>货架系统</t>
        </is>
      </c>
      <c r="C23" s="18" t="n"/>
      <c r="D23" s="18" t="n"/>
      <c r="E23" s="18" t="n"/>
      <c r="F23" s="18" t="n"/>
      <c r="G23" s="19">
        <f>I23*J23/10000</f>
        <v/>
      </c>
      <c r="H23" s="16" t="inlineStr">
        <is>
          <t>㎡</t>
        </is>
      </c>
      <c r="I23" s="20" t="n">
        <v>123000</v>
      </c>
      <c r="J23" s="20" t="n">
        <v>120</v>
      </c>
      <c r="K23" s="17" t="inlineStr">
        <is>
          <t>大宗仓重型货架</t>
        </is>
      </c>
      <c r="L23" s="21" t="n">
        <v>0.028</v>
      </c>
    </row>
    <row r="24">
      <c r="A24" s="16" t="inlineStr">
        <is>
          <t>3.3</t>
        </is>
      </c>
      <c r="B24" s="17" t="inlineStr">
        <is>
          <t>物流信息系统</t>
        </is>
      </c>
      <c r="C24" s="18" t="n"/>
      <c r="D24" s="18" t="n"/>
      <c r="E24" s="18" t="n"/>
      <c r="F24" s="18" t="n"/>
      <c r="G24" s="19">
        <f>I24*J24/10000</f>
        <v/>
      </c>
      <c r="H24" s="16" t="inlineStr">
        <is>
          <t>套</t>
        </is>
      </c>
      <c r="I24" s="20" t="n">
        <v>1</v>
      </c>
      <c r="J24" s="20" t="n">
        <v>3000000</v>
      </c>
      <c r="K24" s="17" t="inlineStr">
        <is>
          <t>WMS+TMS+园区管理平台</t>
        </is>
      </c>
      <c r="L24" s="21" t="n">
        <v>0.006</v>
      </c>
    </row>
    <row r="25">
      <c r="A25" s="16" t="inlineStr">
        <is>
          <t>3.4</t>
        </is>
      </c>
      <c r="B25" s="17" t="inlineStr">
        <is>
          <t>视频监控系统</t>
        </is>
      </c>
      <c r="C25" s="18" t="n"/>
      <c r="D25" s="18" t="n"/>
      <c r="E25" s="18" t="n"/>
      <c r="F25" s="18" t="n"/>
      <c r="G25" s="19">
        <f>I25*J25/10000</f>
        <v/>
      </c>
      <c r="H25" s="16" t="inlineStr">
        <is>
          <t>套</t>
        </is>
      </c>
      <c r="I25" s="20" t="n">
        <v>1</v>
      </c>
      <c r="J25" s="20" t="n">
        <v>2000000</v>
      </c>
      <c r="K25" s="17" t="inlineStr">
        <is>
          <t>含摄像头、存储、大屏</t>
        </is>
      </c>
      <c r="L25" s="21" t="n">
        <v>0.004</v>
      </c>
    </row>
    <row r="26">
      <c r="A26" s="16" t="inlineStr">
        <is>
          <t>3.5</t>
        </is>
      </c>
      <c r="B26" s="17" t="inlineStr">
        <is>
          <t>其他设备</t>
        </is>
      </c>
      <c r="C26" s="18" t="n"/>
      <c r="D26" s="18" t="n"/>
      <c r="E26" s="18" t="n"/>
      <c r="F26" s="18" t="n"/>
      <c r="G26" s="19">
        <f>I26*J26/10000</f>
        <v/>
      </c>
      <c r="H26" s="16" t="inlineStr">
        <is>
          <t>项</t>
        </is>
      </c>
      <c r="I26" s="20" t="n">
        <v>1</v>
      </c>
      <c r="J26" s="20" t="n">
        <v>2840000</v>
      </c>
      <c r="K26" s="17" t="inlineStr">
        <is>
          <t>地磅、包装设备等</t>
        </is>
      </c>
      <c r="L26" s="21" t="n">
        <v>0.005</v>
      </c>
    </row>
    <row r="27">
      <c r="A27" s="10" t="inlineStr">
        <is>
          <t>4</t>
        </is>
      </c>
      <c r="B27" s="11" t="inlineStr">
        <is>
          <t>室外配套工程</t>
        </is>
      </c>
      <c r="C27" s="12" t="n"/>
      <c r="D27" s="12" t="n"/>
      <c r="E27" s="12" t="n"/>
      <c r="F27" s="12" t="n"/>
      <c r="G27" s="13">
        <f>SUM(G28:G32)</f>
        <v/>
      </c>
      <c r="H27" s="14" t="n"/>
      <c r="I27" s="14" t="n"/>
      <c r="J27" s="14" t="n"/>
      <c r="K27" s="14" t="n"/>
      <c r="L27" s="15" t="n">
        <v>0.059</v>
      </c>
    </row>
    <row r="28">
      <c r="A28" s="16" t="inlineStr">
        <is>
          <t>4.1</t>
        </is>
      </c>
      <c r="B28" s="17" t="inlineStr">
        <is>
          <t>道路及硬化</t>
        </is>
      </c>
      <c r="C28" s="18" t="n"/>
      <c r="D28" s="18" t="n"/>
      <c r="E28" s="18" t="n"/>
      <c r="F28" s="18" t="n"/>
      <c r="G28" s="19">
        <f>I28*J28/10000</f>
        <v/>
      </c>
      <c r="H28" s="16" t="inlineStr">
        <is>
          <t>㎡</t>
        </is>
      </c>
      <c r="I28" s="20" t="n">
        <v>72000</v>
      </c>
      <c r="J28" s="20" t="n">
        <v>280</v>
      </c>
      <c r="K28" s="17" t="inlineStr">
        <is>
          <t>含园区主次道路、停车场</t>
        </is>
      </c>
      <c r="L28" s="21" t="n">
        <v>0.038</v>
      </c>
    </row>
    <row r="29">
      <c r="A29" s="16" t="inlineStr">
        <is>
          <t>4.2</t>
        </is>
      </c>
      <c r="B29" s="17" t="inlineStr">
        <is>
          <t>绿化工程</t>
        </is>
      </c>
      <c r="C29" s="18" t="n"/>
      <c r="D29" s="18" t="n"/>
      <c r="E29" s="18" t="n"/>
      <c r="F29" s="18" t="n"/>
      <c r="G29" s="19">
        <f>I29*J29/10000</f>
        <v/>
      </c>
      <c r="H29" s="16" t="inlineStr">
        <is>
          <t>㎡</t>
        </is>
      </c>
      <c r="I29" s="20" t="n">
        <v>18000</v>
      </c>
      <c r="J29" s="20" t="n">
        <v>80</v>
      </c>
      <c r="K29" s="17" t="inlineStr">
        <is>
          <t>含行道树、绿地</t>
        </is>
      </c>
      <c r="L29" s="21" t="n">
        <v>0.003</v>
      </c>
    </row>
    <row r="30">
      <c r="A30" s="16" t="inlineStr">
        <is>
          <t>4.3</t>
        </is>
      </c>
      <c r="B30" s="17" t="inlineStr">
        <is>
          <t>给排水外网</t>
        </is>
      </c>
      <c r="C30" s="18" t="n"/>
      <c r="D30" s="18" t="n"/>
      <c r="E30" s="18" t="n"/>
      <c r="F30" s="18" t="n"/>
      <c r="G30" s="19">
        <f>I30*J30/10000</f>
        <v/>
      </c>
      <c r="H30" s="16" t="inlineStr">
        <is>
          <t>项</t>
        </is>
      </c>
      <c r="I30" s="20" t="n">
        <v>1</v>
      </c>
      <c r="J30" s="20" t="n">
        <v>4860000</v>
      </c>
      <c r="K30" s="17" t="inlineStr">
        <is>
          <t>接入市政管网</t>
        </is>
      </c>
      <c r="L30" s="21" t="n">
        <v>0.009000000000000001</v>
      </c>
    </row>
    <row r="31">
      <c r="A31" s="16" t="inlineStr">
        <is>
          <t>4.4</t>
        </is>
      </c>
      <c r="B31" s="17" t="inlineStr">
        <is>
          <t>供配电外线</t>
        </is>
      </c>
      <c r="C31" s="18" t="n"/>
      <c r="D31" s="18" t="n"/>
      <c r="E31" s="18" t="n"/>
      <c r="F31" s="18" t="n"/>
      <c r="G31" s="19">
        <f>I31*J31/10000</f>
        <v/>
      </c>
      <c r="H31" s="16" t="inlineStr">
        <is>
          <t>项</t>
        </is>
      </c>
      <c r="I31" s="20" t="n">
        <v>1</v>
      </c>
      <c r="J31" s="20" t="n">
        <v>3100000</v>
      </c>
      <c r="K31" s="17" t="inlineStr">
        <is>
          <t>10kV外线+箱变</t>
        </is>
      </c>
      <c r="L31" s="21" t="n">
        <v>0.006</v>
      </c>
    </row>
    <row r="32">
      <c r="A32" s="16" t="inlineStr">
        <is>
          <t>4.5</t>
        </is>
      </c>
      <c r="B32" s="17" t="inlineStr">
        <is>
          <t>围墙及大门</t>
        </is>
      </c>
      <c r="C32" s="18" t="n"/>
      <c r="D32" s="18" t="n"/>
      <c r="E32" s="18" t="n"/>
      <c r="F32" s="18" t="n"/>
      <c r="G32" s="19">
        <f>I32*J32/10000</f>
        <v/>
      </c>
      <c r="H32" s="16" t="inlineStr">
        <is>
          <t>m</t>
        </is>
      </c>
      <c r="I32" s="20" t="n">
        <v>1250</v>
      </c>
      <c r="J32" s="20" t="n">
        <v>1200</v>
      </c>
      <c r="K32" s="17" t="inlineStr">
        <is>
          <t>含围墙、电动伸缩门</t>
        </is>
      </c>
      <c r="L32" s="21" t="n">
        <v>0.003</v>
      </c>
    </row>
    <row r="33">
      <c r="A33" s="5" t="inlineStr">
        <is>
          <t>二</t>
        </is>
      </c>
      <c r="B33" s="6" t="inlineStr">
        <is>
          <t>工程建设其他费</t>
        </is>
      </c>
      <c r="C33" s="7" t="n"/>
      <c r="D33" s="7" t="n"/>
      <c r="E33" s="7" t="n"/>
      <c r="F33" s="7">
        <f>G33</f>
        <v/>
      </c>
      <c r="G33" s="7">
        <f>SUM(G34:G41)</f>
        <v/>
      </c>
      <c r="H33" s="8" t="n"/>
      <c r="I33" s="8" t="n"/>
      <c r="J33" s="8" t="n"/>
      <c r="K33" s="8" t="n"/>
      <c r="L33" s="9" t="n">
        <v>0.147</v>
      </c>
    </row>
    <row r="34">
      <c r="A34" s="16" t="inlineStr">
        <is>
          <t>5</t>
        </is>
      </c>
      <c r="B34" s="17" t="inlineStr">
        <is>
          <t>征地拆迁及土地费</t>
        </is>
      </c>
      <c r="C34" s="18" t="n"/>
      <c r="D34" s="18" t="n"/>
      <c r="E34" s="18" t="n"/>
      <c r="F34" s="18" t="n"/>
      <c r="G34" s="19">
        <f>I34*J34/10000</f>
        <v/>
      </c>
      <c r="H34" s="16" t="inlineStr">
        <is>
          <t>亩</t>
        </is>
      </c>
      <c r="I34" s="20" t="n">
        <v>300</v>
      </c>
      <c r="J34" s="20" t="n">
        <v>180000</v>
      </c>
      <c r="K34" s="17" t="inlineStr">
        <is>
          <t>【待确认】含土地补偿+出让金</t>
        </is>
      </c>
      <c r="L34" s="21" t="n">
        <v>0.103</v>
      </c>
    </row>
    <row r="35">
      <c r="A35" s="16" t="inlineStr">
        <is>
          <t>6</t>
        </is>
      </c>
      <c r="B35" s="17" t="inlineStr">
        <is>
          <t>建设单位管理费</t>
        </is>
      </c>
      <c r="C35" s="19" t="n">
        <v>454</v>
      </c>
      <c r="D35" s="18" t="n"/>
      <c r="E35" s="18" t="n"/>
      <c r="F35" s="19" t="n">
        <v>454</v>
      </c>
      <c r="G35" s="19">
        <f>F35</f>
        <v/>
      </c>
      <c r="H35" s="22" t="n"/>
      <c r="I35" s="22" t="n"/>
      <c r="J35" s="22" t="n"/>
      <c r="K35" s="17" t="inlineStr">
        <is>
          <t>财建〔2016〕504号</t>
        </is>
      </c>
      <c r="L35" s="21" t="n">
        <v>0.009000000000000001</v>
      </c>
    </row>
    <row r="36">
      <c r="A36" s="16" t="inlineStr">
        <is>
          <t>7</t>
        </is>
      </c>
      <c r="B36" s="17" t="inlineStr">
        <is>
          <t>勘察设计费</t>
        </is>
      </c>
      <c r="C36" s="19" t="n">
        <v>946</v>
      </c>
      <c r="D36" s="18" t="n"/>
      <c r="E36" s="18" t="n"/>
      <c r="F36" s="19" t="n">
        <v>946</v>
      </c>
      <c r="G36" s="19">
        <f>F36</f>
        <v/>
      </c>
      <c r="H36" s="22" t="n"/>
      <c r="I36" s="22" t="n"/>
      <c r="J36" s="22" t="n"/>
      <c r="K36" s="17" t="inlineStr">
        <is>
          <t>工程费用×2.5%</t>
        </is>
      </c>
      <c r="L36" s="21" t="n">
        <v>0.018</v>
      </c>
    </row>
    <row r="37">
      <c r="A37" s="16" t="inlineStr">
        <is>
          <t>8</t>
        </is>
      </c>
      <c r="B37" s="17" t="inlineStr">
        <is>
          <t>工程监理费</t>
        </is>
      </c>
      <c r="C37" s="19" t="n">
        <v>567</v>
      </c>
      <c r="D37" s="18" t="n"/>
      <c r="E37" s="18" t="n"/>
      <c r="F37" s="19" t="n">
        <v>567</v>
      </c>
      <c r="G37" s="19">
        <f>F37</f>
        <v/>
      </c>
      <c r="H37" s="22" t="n"/>
      <c r="I37" s="22" t="n"/>
      <c r="J37" s="22" t="n"/>
      <c r="K37" s="17" t="inlineStr">
        <is>
          <t>发改价格〔2007〕670号</t>
        </is>
      </c>
      <c r="L37" s="21" t="n">
        <v>0.011</v>
      </c>
    </row>
    <row r="38">
      <c r="A38" s="16" t="inlineStr">
        <is>
          <t>9</t>
        </is>
      </c>
      <c r="B38" s="17" t="inlineStr">
        <is>
          <t>招标代理费</t>
        </is>
      </c>
      <c r="C38" s="19" t="n">
        <v>80</v>
      </c>
      <c r="D38" s="18" t="n"/>
      <c r="E38" s="18" t="n"/>
      <c r="F38" s="19" t="n">
        <v>80</v>
      </c>
      <c r="G38" s="19">
        <f>F38</f>
        <v/>
      </c>
      <c r="H38" s="22" t="n"/>
      <c r="I38" s="22" t="n"/>
      <c r="J38" s="22" t="n"/>
      <c r="K38" s="22" t="n"/>
      <c r="L38" s="21" t="n">
        <v>0.002</v>
      </c>
    </row>
    <row r="39">
      <c r="A39" s="16" t="inlineStr">
        <is>
          <t>10</t>
        </is>
      </c>
      <c r="B39" s="17" t="inlineStr">
        <is>
          <t>工程造价咨询费</t>
        </is>
      </c>
      <c r="C39" s="19" t="n">
        <v>100</v>
      </c>
      <c r="D39" s="18" t="n"/>
      <c r="E39" s="18" t="n"/>
      <c r="F39" s="19" t="n">
        <v>100</v>
      </c>
      <c r="G39" s="19">
        <f>F39</f>
        <v/>
      </c>
      <c r="H39" s="22" t="n"/>
      <c r="I39" s="22" t="n"/>
      <c r="J39" s="22" t="n"/>
      <c r="K39" s="17" t="inlineStr">
        <is>
          <t>含概算编制、全过程造价</t>
        </is>
      </c>
      <c r="L39" s="21" t="n">
        <v>0.002</v>
      </c>
    </row>
    <row r="40">
      <c r="A40" s="16" t="inlineStr">
        <is>
          <t>11</t>
        </is>
      </c>
      <c r="B40" s="17" t="inlineStr">
        <is>
          <t>前期工作咨询费</t>
        </is>
      </c>
      <c r="C40" s="19" t="n">
        <v>120</v>
      </c>
      <c r="D40" s="18" t="n"/>
      <c r="E40" s="18" t="n"/>
      <c r="F40" s="19" t="n">
        <v>120</v>
      </c>
      <c r="G40" s="19">
        <f>F40</f>
        <v/>
      </c>
      <c r="H40" s="22" t="n"/>
      <c r="I40" s="22" t="n"/>
      <c r="J40" s="22" t="n"/>
      <c r="K40" s="17" t="inlineStr">
        <is>
          <t>可研编制、环评、水保</t>
        </is>
      </c>
      <c r="L40" s="21" t="n">
        <v>0.002</v>
      </c>
    </row>
    <row r="41">
      <c r="A41" s="16" t="inlineStr">
        <is>
          <t>12</t>
        </is>
      </c>
      <c r="B41" s="17" t="inlineStr">
        <is>
          <t>工程保险费</t>
        </is>
      </c>
      <c r="C41" s="19" t="n">
        <v>113</v>
      </c>
      <c r="D41" s="18" t="n"/>
      <c r="E41" s="18" t="n"/>
      <c r="F41" s="19" t="n">
        <v>113</v>
      </c>
      <c r="G41" s="19">
        <f>F41</f>
        <v/>
      </c>
      <c r="H41" s="22" t="n"/>
      <c r="I41" s="22" t="n"/>
      <c r="J41" s="22" t="n"/>
      <c r="K41" s="17" t="inlineStr">
        <is>
          <t>工程费用×0.3%</t>
        </is>
      </c>
      <c r="L41" s="21" t="n">
        <v>0.002</v>
      </c>
    </row>
    <row r="42">
      <c r="A42" s="5" t="inlineStr">
        <is>
          <t>三</t>
        </is>
      </c>
      <c r="B42" s="6" t="inlineStr">
        <is>
          <t>预备费</t>
        </is>
      </c>
      <c r="C42" s="7" t="n"/>
      <c r="D42" s="7" t="n"/>
      <c r="E42" s="7" t="n"/>
      <c r="F42" s="7">
        <f>G42</f>
        <v/>
      </c>
      <c r="G42" s="7">
        <f>ROUND((G6+G33)*0.08, 2)</f>
        <v/>
      </c>
      <c r="H42" s="8" t="n"/>
      <c r="I42" s="8" t="n"/>
      <c r="J42" s="8" t="n"/>
      <c r="K42" s="8" t="n"/>
      <c r="L42" s="9" t="n">
        <v>0.07000000000000001</v>
      </c>
    </row>
    <row r="43">
      <c r="A43" s="16" t="inlineStr">
        <is>
          <t>13</t>
        </is>
      </c>
      <c r="B43" s="17" t="inlineStr">
        <is>
          <t>基本预备费</t>
        </is>
      </c>
      <c r="C43" s="19" t="n">
        <v>3643</v>
      </c>
      <c r="D43" s="18" t="n"/>
      <c r="E43" s="18" t="n"/>
      <c r="F43" s="19">
        <f>ROUND((G6+G33)*0.08, 2)</f>
        <v/>
      </c>
      <c r="G43" s="19">
        <f>ROUND((G6+G33)*0.08, 2)</f>
        <v/>
      </c>
      <c r="H43" s="22" t="n"/>
      <c r="I43" s="22" t="n"/>
      <c r="J43" s="22" t="n"/>
      <c r="K43" s="17" t="inlineStr">
        <is>
          <t>(一+二)×8%</t>
        </is>
      </c>
      <c r="L43" s="21" t="n">
        <v>0.07000000000000001</v>
      </c>
    </row>
    <row r="44">
      <c r="A44" s="5" t="inlineStr">
        <is>
          <t>四</t>
        </is>
      </c>
      <c r="B44" s="6" t="inlineStr">
        <is>
          <t>建设期利息</t>
        </is>
      </c>
      <c r="C44" s="7" t="n"/>
      <c r="D44" s="7" t="n"/>
      <c r="E44" s="7" t="n"/>
      <c r="F44" s="7">
        <f>G44</f>
        <v/>
      </c>
      <c r="G44" s="7">
        <f>G45</f>
        <v/>
      </c>
      <c r="H44" s="8" t="n"/>
      <c r="I44" s="8" t="n"/>
      <c r="J44" s="8" t="n"/>
      <c r="K44" s="8" t="n"/>
      <c r="L44" s="9" t="n">
        <v>0.023</v>
      </c>
    </row>
    <row r="45">
      <c r="A45" s="16" t="inlineStr">
        <is>
          <t>14</t>
        </is>
      </c>
      <c r="B45" s="17" t="inlineStr">
        <is>
          <t>建设期融资利息</t>
        </is>
      </c>
      <c r="C45" s="19" t="n">
        <v>1215</v>
      </c>
      <c r="D45" s="18" t="n"/>
      <c r="E45" s="18" t="n"/>
      <c r="F45" s="19" t="n">
        <v>1215</v>
      </c>
      <c r="G45" s="19">
        <f>F45</f>
        <v/>
      </c>
      <c r="H45" s="22" t="n"/>
      <c r="I45" s="22" t="n"/>
      <c r="J45" s="22" t="n"/>
      <c r="K45" s="17" t="inlineStr">
        <is>
          <t>按融资方案测算</t>
        </is>
      </c>
      <c r="L45" s="21" t="n">
        <v>0.023</v>
      </c>
    </row>
    <row r="46">
      <c r="A46" s="16" t="n"/>
      <c r="B46" s="17" t="inlineStr">
        <is>
          <t>价差预备费</t>
        </is>
      </c>
      <c r="C46" s="18" t="n">
        <v>0</v>
      </c>
      <c r="D46" s="18" t="n"/>
      <c r="E46" s="18" t="n"/>
      <c r="F46" s="18" t="n">
        <v>0</v>
      </c>
      <c r="G46" s="19">
        <f>F46</f>
        <v/>
      </c>
      <c r="H46" s="22" t="n"/>
      <c r="I46" s="22" t="n"/>
      <c r="J46" s="22" t="n"/>
      <c r="K46" s="17" t="inlineStr">
        <is>
          <t>暂不计取</t>
        </is>
      </c>
      <c r="L46" s="21" t="n">
        <v>0</v>
      </c>
    </row>
    <row r="47">
      <c r="A47" s="10" t="inlineStr">
        <is>
          <t>五</t>
        </is>
      </c>
      <c r="B47" s="11" t="inlineStr">
        <is>
          <t>项目总投资</t>
        </is>
      </c>
      <c r="C47" s="12" t="n"/>
      <c r="D47" s="12" t="n"/>
      <c r="E47" s="12" t="n"/>
      <c r="F47" s="12" t="n"/>
      <c r="G47" s="13">
        <f>G6+G33+G42+G44</f>
        <v/>
      </c>
      <c r="H47" s="14" t="n"/>
      <c r="I47" s="14" t="n"/>
      <c r="J47" s="14" t="n"/>
      <c r="K47" s="14" t="n"/>
      <c r="L47" s="15" t="n">
        <v>0.9620000000000001</v>
      </c>
    </row>
    <row r="48">
      <c r="A48" s="16" t="n"/>
      <c r="B48" s="17" t="inlineStr">
        <is>
          <t>铺底流动资金</t>
        </is>
      </c>
      <c r="C48" s="19" t="n">
        <v>2000</v>
      </c>
      <c r="D48" s="18" t="n"/>
      <c r="E48" s="18" t="n"/>
      <c r="F48" s="19" t="n">
        <v>2000</v>
      </c>
      <c r="G48" s="19">
        <f>F48</f>
        <v/>
      </c>
      <c r="H48" s="22" t="n"/>
      <c r="I48" s="22" t="n"/>
      <c r="J48" s="22" t="n"/>
      <c r="K48" s="17" t="inlineStr">
        <is>
          <t>按运营初期3个月运营成本</t>
        </is>
      </c>
      <c r="L48" s="21" t="n">
        <v>0.038</v>
      </c>
    </row>
    <row r="49">
      <c r="A49" s="10" t="inlineStr">
        <is>
          <t>六</t>
        </is>
      </c>
      <c r="B49" s="11" t="inlineStr">
        <is>
          <t>项目总资金</t>
        </is>
      </c>
      <c r="C49" s="12" t="n"/>
      <c r="D49" s="12" t="n"/>
      <c r="E49" s="12" t="n"/>
      <c r="F49" s="12" t="n"/>
      <c r="G49" s="13">
        <f>G47+G48</f>
        <v/>
      </c>
      <c r="H49" s="14" t="n"/>
      <c r="I49" s="14" t="n"/>
      <c r="J49" s="14" t="n"/>
      <c r="K49" s="14" t="n"/>
      <c r="L49" s="15" t="n">
        <v>1</v>
      </c>
    </row>
  </sheetData>
  <mergeCells count="8">
    <mergeCell ref="A2:L2"/>
    <mergeCell ref="C4:G4"/>
    <mergeCell ref="B4:B5"/>
    <mergeCell ref="A4:A5"/>
    <mergeCell ref="A1:L1"/>
    <mergeCell ref="H4:J4"/>
    <mergeCell ref="K4:K5"/>
    <mergeCell ref="L4:L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</cols>
  <sheetData>
    <row r="1">
      <c r="A1" s="23" t="inlineStr">
        <is>
          <t>投资估算编制说明</t>
        </is>
      </c>
    </row>
    <row r="3">
      <c r="A3" s="24" t="inlineStr">
        <is>
          <t>一、</t>
        </is>
      </c>
      <c r="B3" s="25" t="inlineStr">
        <is>
          <t>编制依据</t>
        </is>
      </c>
    </row>
    <row r="4">
      <c r="A4" s="25" t="inlineStr"/>
      <c r="B4" s="25" t="inlineStr">
        <is>
          <t>1. 国家发展改革委《建设项目投资估算编审规程》（CECA/GC1）</t>
        </is>
      </c>
    </row>
    <row r="5">
      <c r="A5" s="25" t="inlineStr"/>
      <c r="B5" s="25" t="inlineStr">
        <is>
          <t>2. 德阳市住建局《2025年上半年德阳市建设工程造价指数》（造价指数183.16）</t>
        </is>
      </c>
    </row>
    <row r="6">
      <c r="A6" s="25" t="inlineStr"/>
      <c r="B6" s="25" t="inlineStr">
        <is>
          <t>3. 《四川省建设工程工程量清单计价定额》（2020版）</t>
        </is>
      </c>
    </row>
    <row r="7">
      <c r="A7" s="25" t="inlineStr"/>
      <c r="B7" s="25" t="inlineStr">
        <is>
          <t>4. 《物资集散中心和陆港仓库建设规范》（T/SDTLA 0001-2024）</t>
        </is>
      </c>
    </row>
    <row r="8">
      <c r="A8" s="25" t="inlineStr"/>
      <c r="B8" s="25" t="inlineStr">
        <is>
          <t>5. 同类项目：芜湖裕溪口多式联运基地（2025年）</t>
        </is>
      </c>
    </row>
    <row r="9">
      <c r="A9" s="25" t="inlineStr"/>
      <c r="B9" s="25" t="inlineStr">
        <is>
          <t>6. 同类项目：周宁县大型仓储物流基地（2025年）</t>
        </is>
      </c>
    </row>
    <row r="10">
      <c r="A10" s="25" t="inlineStr"/>
      <c r="B10" s="25" t="inlineStr">
        <is>
          <t>7. 德阳国际铁路物流港蓉欧冷链运营中心项目参考</t>
        </is>
      </c>
    </row>
    <row r="11">
      <c r="A11" s="25" t="inlineStr"/>
      <c r="B11" s="25" t="inlineStr"/>
    </row>
    <row r="12">
      <c r="A12" s="24" t="inlineStr">
        <is>
          <t>二、</t>
        </is>
      </c>
      <c r="B12" s="25" t="inlineStr">
        <is>
          <t>主要取费标准</t>
        </is>
      </c>
    </row>
    <row r="13">
      <c r="A13" s="25" t="inlineStr"/>
      <c r="B13" s="25" t="inlineStr">
        <is>
          <t>· 建设单位管理费：财建〔2016〕504号，阶梯费率</t>
        </is>
      </c>
    </row>
    <row r="14">
      <c r="A14" s="25" t="inlineStr"/>
      <c r="B14" s="25" t="inlineStr">
        <is>
          <t>· 工程监理费：发改价格〔2007〕670号</t>
        </is>
      </c>
    </row>
    <row r="15">
      <c r="A15" s="25" t="inlineStr"/>
      <c r="B15" s="25" t="inlineStr">
        <is>
          <t>· 勘察设计费：工程费用×2.5%</t>
        </is>
      </c>
    </row>
    <row r="16">
      <c r="A16" s="25" t="inlineStr"/>
      <c r="B16" s="25" t="inlineStr">
        <is>
          <t>· 基本预备费：（工程费用+其他费）×8%</t>
        </is>
      </c>
    </row>
    <row r="17">
      <c r="A17" s="25" t="inlineStr"/>
      <c r="B17" s="25" t="inlineStr">
        <is>
          <t>· 征地补偿：德府函〔2023〕112号，农用地53,600元/亩</t>
        </is>
      </c>
    </row>
    <row r="18">
      <c r="A18" s="25" t="inlineStr"/>
      <c r="B18" s="25" t="inlineStr">
        <is>
          <t>· 建设期利息：综合年利率约3.5%</t>
        </is>
      </c>
    </row>
    <row r="19">
      <c r="A19" s="25" t="inlineStr"/>
      <c r="B19" s="25" t="inlineStr"/>
    </row>
    <row r="20">
      <c r="A20" s="24" t="inlineStr">
        <is>
          <t>三、</t>
        </is>
      </c>
      <c r="B20" s="25" t="inlineStr">
        <is>
          <t>主要单价指标来源</t>
        </is>
      </c>
    </row>
    <row r="21">
      <c r="A21" s="25" t="inlineStr"/>
      <c r="B21" s="25" t="inlineStr">
        <is>
          <t>· 钢结构物流仓 1,420元/㎡ — 德阳市2025上半年造价指数，钢材价格下降因素</t>
        </is>
      </c>
    </row>
    <row r="22">
      <c r="A22" s="25" t="inlineStr"/>
      <c r="B22" s="25" t="inlineStr">
        <is>
          <t>· 中转仓（含装卸平台）1,650元/㎡</t>
        </is>
      </c>
    </row>
    <row r="23">
      <c r="A23" s="25" t="inlineStr"/>
      <c r="B23" s="25" t="inlineStr">
        <is>
          <t>· 冷库（含保温制冷）6,500元/㎡ — 参照蓉欧冷链运营中心及行业标准</t>
        </is>
      </c>
    </row>
    <row r="24">
      <c r="A24" s="25" t="inlineStr"/>
      <c r="B24" s="25" t="inlineStr">
        <is>
          <t>· 框架结构 2,050~2,550元/㎡ — 四川省2024年造价信息</t>
        </is>
      </c>
    </row>
    <row r="25">
      <c r="A25" s="25" t="inlineStr"/>
      <c r="B25" s="25" t="inlineStr">
        <is>
          <t>· 道路硬化 280元/㎡ — 行业通用指标</t>
        </is>
      </c>
    </row>
    <row r="26">
      <c r="A26" s="25" t="inlineStr"/>
      <c r="B26" s="25" t="inlineStr">
        <is>
          <t>· 安装工程各专业 35~100元/㎡ — 按建筑面积×行业安装指标</t>
        </is>
      </c>
    </row>
    <row r="27">
      <c r="A27" s="25" t="inlineStr"/>
      <c r="B27" s="25" t="inlineStr"/>
    </row>
    <row r="28">
      <c r="A28" s="24" t="inlineStr">
        <is>
          <t>四、</t>
        </is>
      </c>
      <c r="B28" s="25" t="inlineStr">
        <is>
          <t>待确认事项</t>
        </is>
      </c>
    </row>
    <row r="29">
      <c r="A29" s="25" t="inlineStr"/>
      <c r="B29" s="25" t="inlineStr">
        <is>
          <t>① 土地实际出让价格（暂按18万/亩综合价估算）</t>
        </is>
      </c>
    </row>
    <row r="30">
      <c r="A30" s="25" t="inlineStr"/>
      <c r="B30" s="25" t="inlineStr">
        <is>
          <t>② 冷库建设标准需在初步设计中深化</t>
        </is>
      </c>
    </row>
    <row r="31">
      <c r="A31" s="25" t="inlineStr"/>
      <c r="B31" s="25" t="inlineStr">
        <is>
          <t>③ 大宗物流仓是否配置行吊（如有需增加300~500元/㎡）</t>
        </is>
      </c>
    </row>
    <row r="32">
      <c r="A32" s="25" t="inlineStr"/>
      <c r="B32" s="25" t="inlineStr">
        <is>
          <t>④ 融资方案和利率需与金融机构对接确认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</cols>
  <sheetData>
    <row r="1">
      <c r="A1" s="23" t="inlineStr">
        <is>
          <t>投资构成分析</t>
        </is>
      </c>
    </row>
    <row r="3">
      <c r="A3" s="26" t="inlineStr">
        <is>
          <t>构成项目</t>
        </is>
      </c>
      <c r="B3" s="26" t="inlineStr">
        <is>
          <t>金额（万元）</t>
        </is>
      </c>
      <c r="C3" s="26" t="inlineStr">
        <is>
          <t>占比</t>
        </is>
      </c>
    </row>
    <row r="4">
      <c r="A4" s="27" t="inlineStr">
        <is>
          <t>工程费用</t>
        </is>
      </c>
      <c r="B4" s="20">
        <f>投资估算表!G6</f>
        <v/>
      </c>
      <c r="C4" s="28">
        <f>投资估算表!G6/投资估算表!G49</f>
        <v/>
      </c>
    </row>
    <row r="5">
      <c r="A5" s="27" t="inlineStr">
        <is>
          <t>工程建设其他费</t>
        </is>
      </c>
      <c r="B5" s="20">
        <f>投资估算表!G33</f>
        <v/>
      </c>
      <c r="C5" s="28">
        <f>投资估算表!G33/投资估算表!G49</f>
        <v/>
      </c>
    </row>
    <row r="6">
      <c r="A6" s="27" t="inlineStr">
        <is>
          <t>预备费</t>
        </is>
      </c>
      <c r="B6" s="20">
        <f>投资估算表!G42</f>
        <v/>
      </c>
      <c r="C6" s="28">
        <f>投资估算表!G42/投资估算表!G49</f>
        <v/>
      </c>
    </row>
    <row r="7">
      <c r="A7" s="27" t="inlineStr">
        <is>
          <t>建设期利息</t>
        </is>
      </c>
      <c r="B7" s="20">
        <f>投资估算表!G44</f>
        <v/>
      </c>
      <c r="C7" s="28">
        <f>投资估算表!G44/投资估算表!G49</f>
        <v/>
      </c>
    </row>
    <row r="8">
      <c r="A8" s="27" t="inlineStr">
        <is>
          <t>铺底流动资金</t>
        </is>
      </c>
      <c r="B8" s="20">
        <f>投资估算表!G48</f>
        <v/>
      </c>
      <c r="C8" s="28">
        <f>投资估算表!G48/投资估算表!G49</f>
        <v/>
      </c>
    </row>
    <row r="9">
      <c r="A9" s="29" t="inlineStr">
        <is>
          <t>项目总资金</t>
        </is>
      </c>
      <c r="B9" s="30">
        <f>投资估算表!G49</f>
        <v/>
      </c>
      <c r="C9" s="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2026-06-20T04:53:47Z</dcterms:created>
  <dcterms:modified xmlns:dcterms="http://purl.org/dc/terms/" xmlns:xsi="http://www.w3.org/2001/XMLSchema-instance" xsi:type="dcterms:W3CDTF">2026-06-20T04:53:47Z</dcterms:modified>
</cp:coreProperties>
</file>