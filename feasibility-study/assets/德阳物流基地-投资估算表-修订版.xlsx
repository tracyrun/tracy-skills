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资估算表" sheetId="1" state="visible" r:id="rId1"/>
    <sheet xmlns:r="http://schemas.openxmlformats.org/officeDocument/2006/relationships" name="编制说明" sheetId="2" state="visible" r:id="rId2"/>
    <sheet xmlns:r="http://schemas.openxmlformats.org/officeDocument/2006/relationships" name="投资构成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8"/>
    </font>
    <font>
      <name val="微软雅黑"/>
      <b val="1"/>
      <color rgb="00FFFFFF"/>
      <sz val="9"/>
    </font>
    <font>
      <name val="微软雅黑"/>
      <b val="1"/>
      <sz val="9"/>
    </font>
    <font>
      <name val="微软雅黑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0" fillId="3" borderId="1" pivotButton="0" quotePrefix="0" xfId="0"/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30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8" customWidth="1" min="8" max="8"/>
    <col width="11" customWidth="1" min="9" max="9"/>
    <col width="11" customWidth="1" min="10" max="10"/>
    <col width="20" customWidth="1" min="11" max="11"/>
    <col width="8" customWidth="1" min="12" max="12"/>
  </cols>
  <sheetData>
    <row r="1" ht="30" customHeight="1">
      <c r="A1" s="1" t="inlineStr">
        <is>
          <t>德阳市大宗货物（旌北新区）物流基地项目（黄许一期）— 投资估算表</t>
        </is>
      </c>
    </row>
    <row r="2">
      <c r="A2" s="2" t="inlineStr">
        <is>
          <t>金额单位：万元  |  修订版：依据设计院2026.05.27总图t8版  |  编制日期：2026年6月</t>
        </is>
      </c>
    </row>
    <row r="4" ht="22" customHeight="1">
      <c r="A4" s="3" t="inlineStr">
        <is>
          <t>序号</t>
        </is>
      </c>
      <c r="B4" s="3" t="inlineStr">
        <is>
          <t>工程或费用名称</t>
        </is>
      </c>
      <c r="C4" s="3" t="inlineStr">
        <is>
          <t>估算价值（万元）</t>
        </is>
      </c>
      <c r="H4" s="3" t="inlineStr">
        <is>
          <t>技术经济指标</t>
        </is>
      </c>
      <c r="K4" s="3" t="inlineStr">
        <is>
          <t>备注</t>
        </is>
      </c>
      <c r="L4" s="3" t="inlineStr">
        <is>
          <t>比例
（%）</t>
        </is>
      </c>
    </row>
    <row r="5" ht="35" customHeight="1">
      <c r="A5" s="4" t="n"/>
      <c r="B5" s="4" t="n"/>
      <c r="C5" s="3" t="inlineStr">
        <is>
          <t>建筑工程费</t>
        </is>
      </c>
      <c r="D5" s="3" t="inlineStr">
        <is>
          <t>安装工程费</t>
        </is>
      </c>
      <c r="E5" s="3" t="inlineStr">
        <is>
          <t>设备购置费</t>
        </is>
      </c>
      <c r="F5" s="3" t="inlineStr">
        <is>
          <t>其他费用</t>
        </is>
      </c>
      <c r="G5" s="3" t="inlineStr">
        <is>
          <t>合计</t>
        </is>
      </c>
      <c r="H5" s="3" t="inlineStr">
        <is>
          <t>单位</t>
        </is>
      </c>
      <c r="I5" s="3" t="inlineStr">
        <is>
          <t>数量</t>
        </is>
      </c>
      <c r="J5" s="3" t="inlineStr">
        <is>
          <t>单位价值
（元/单位）</t>
        </is>
      </c>
      <c r="K5" s="4" t="n"/>
      <c r="L5" s="4" t="n"/>
    </row>
    <row r="6">
      <c r="A6" s="5" t="inlineStr">
        <is>
          <t>一</t>
        </is>
      </c>
      <c r="B6" s="6" t="inlineStr">
        <is>
          <t>工程费用</t>
        </is>
      </c>
      <c r="C6" s="7">
        <f>G7</f>
        <v/>
      </c>
      <c r="D6" s="7">
        <f>G23</f>
        <v/>
      </c>
      <c r="E6" s="7">
        <f>G29</f>
        <v/>
      </c>
      <c r="F6" s="7">
        <f>G34</f>
        <v/>
      </c>
      <c r="G6" s="7">
        <f>C6+D6+E6+F6</f>
        <v/>
      </c>
      <c r="H6" s="8" t="n"/>
      <c r="I6" s="8" t="n"/>
      <c r="J6" s="8" t="n"/>
      <c r="K6" s="8" t="n"/>
      <c r="L6" s="9" t="n">
        <v>0.7290000000000001</v>
      </c>
    </row>
    <row r="7">
      <c r="A7" s="10" t="inlineStr">
        <is>
          <t>1</t>
        </is>
      </c>
      <c r="B7" s="11" t="inlineStr">
        <is>
          <t>建筑工程</t>
        </is>
      </c>
      <c r="C7" s="12" t="n"/>
      <c r="D7" s="12" t="n"/>
      <c r="E7" s="12" t="n"/>
      <c r="F7" s="12" t="n"/>
      <c r="G7" s="13">
        <f>SUM(G8:G22)</f>
        <v/>
      </c>
      <c r="H7" s="14" t="n"/>
      <c r="I7" s="14" t="n"/>
      <c r="J7" s="14" t="n"/>
      <c r="K7" s="14" t="n"/>
      <c r="L7" s="15" t="n">
        <v>0.495</v>
      </c>
    </row>
    <row r="8">
      <c r="A8" s="16" t="inlineStr">
        <is>
          <t>1.1</t>
        </is>
      </c>
      <c r="B8" s="17" t="inlineStr">
        <is>
          <t>大宗物流仓 1#</t>
        </is>
      </c>
      <c r="C8" s="18">
        <f>G8</f>
        <v/>
      </c>
      <c r="D8" s="19" t="n"/>
      <c r="E8" s="19" t="n"/>
      <c r="F8" s="19" t="n"/>
      <c r="G8" s="18">
        <f>I8*J8/10000</f>
        <v/>
      </c>
      <c r="H8" s="16" t="inlineStr">
        <is>
          <t>㎡</t>
        </is>
      </c>
      <c r="I8" s="20" t="n">
        <v>23040</v>
      </c>
      <c r="J8" s="20" t="n">
        <v>1550</v>
      </c>
      <c r="K8" s="17" t="inlineStr">
        <is>
          <t>2F钢结构，含坡道+货梯土建，最大单体</t>
        </is>
      </c>
      <c r="L8" s="21" t="n"/>
    </row>
    <row r="9">
      <c r="A9" s="16" t="inlineStr">
        <is>
          <t>1.2</t>
        </is>
      </c>
      <c r="B9" s="17" t="inlineStr">
        <is>
          <t>大宗物流仓 2#</t>
        </is>
      </c>
      <c r="C9" s="18">
        <f>G9</f>
        <v/>
      </c>
      <c r="D9" s="19" t="n"/>
      <c r="E9" s="19" t="n"/>
      <c r="F9" s="19" t="n"/>
      <c r="G9" s="18">
        <f>I9*J9/10000</f>
        <v/>
      </c>
      <c r="H9" s="16" t="inlineStr">
        <is>
          <t>㎡</t>
        </is>
      </c>
      <c r="I9" s="20" t="n">
        <v>23040</v>
      </c>
      <c r="J9" s="20" t="n">
        <v>1530</v>
      </c>
      <c r="K9" s="17" t="inlineStr">
        <is>
          <t>2F钢结构，最大单体</t>
        </is>
      </c>
      <c r="L9" s="21" t="n"/>
    </row>
    <row r="10">
      <c r="A10" s="16" t="inlineStr">
        <is>
          <t>1.3</t>
        </is>
      </c>
      <c r="B10" s="17" t="inlineStr">
        <is>
          <t>大宗物流仓 3#</t>
        </is>
      </c>
      <c r="C10" s="18">
        <f>G10</f>
        <v/>
      </c>
      <c r="D10" s="19" t="n"/>
      <c r="E10" s="19" t="n"/>
      <c r="F10" s="19" t="n"/>
      <c r="G10" s="18">
        <f>I10*J10/10000</f>
        <v/>
      </c>
      <c r="H10" s="16" t="inlineStr">
        <is>
          <t>㎡</t>
        </is>
      </c>
      <c r="I10" s="20" t="n">
        <v>8160</v>
      </c>
      <c r="J10" s="20" t="n">
        <v>1580</v>
      </c>
      <c r="K10" s="17" t="inlineStr">
        <is>
          <t>2F钢结构，小单体单价略高</t>
        </is>
      </c>
      <c r="L10" s="21" t="n"/>
    </row>
    <row r="11">
      <c r="A11" s="16" t="inlineStr">
        <is>
          <t>1.4</t>
        </is>
      </c>
      <c r="B11" s="17" t="inlineStr">
        <is>
          <t>大宗物流仓 4#</t>
        </is>
      </c>
      <c r="C11" s="18">
        <f>G11</f>
        <v/>
      </c>
      <c r="D11" s="19" t="n"/>
      <c r="E11" s="19" t="n"/>
      <c r="F11" s="19" t="n"/>
      <c r="G11" s="18">
        <f>I11*J11/10000</f>
        <v/>
      </c>
      <c r="H11" s="16" t="inlineStr">
        <is>
          <t>㎡</t>
        </is>
      </c>
      <c r="I11" s="20" t="n">
        <v>11952</v>
      </c>
      <c r="J11" s="20" t="n">
        <v>1550</v>
      </c>
      <c r="K11" s="17" t="inlineStr">
        <is>
          <t>2F钢结构</t>
        </is>
      </c>
      <c r="L11" s="21" t="n"/>
    </row>
    <row r="12">
      <c r="A12" s="16" t="inlineStr">
        <is>
          <t>1.5</t>
        </is>
      </c>
      <c r="B12" s="17" t="inlineStr">
        <is>
          <t>大宗物流仓 5#</t>
        </is>
      </c>
      <c r="C12" s="18">
        <f>G12</f>
        <v/>
      </c>
      <c r="D12" s="19" t="n"/>
      <c r="E12" s="19" t="n"/>
      <c r="F12" s="19" t="n"/>
      <c r="G12" s="18">
        <f>I12*J12/10000</f>
        <v/>
      </c>
      <c r="H12" s="16" t="inlineStr">
        <is>
          <t>㎡</t>
        </is>
      </c>
      <c r="I12" s="20" t="n">
        <v>17424</v>
      </c>
      <c r="J12" s="20" t="n">
        <v>1530</v>
      </c>
      <c r="K12" s="17" t="inlineStr">
        <is>
          <t>2F钢结构</t>
        </is>
      </c>
      <c r="L12" s="21" t="n"/>
    </row>
    <row r="13">
      <c r="A13" s="16" t="inlineStr">
        <is>
          <t>1.6</t>
        </is>
      </c>
      <c r="B13" s="17" t="inlineStr">
        <is>
          <t>大宗物流仓 6#</t>
        </is>
      </c>
      <c r="C13" s="18">
        <f>G13</f>
        <v/>
      </c>
      <c r="D13" s="19" t="n"/>
      <c r="E13" s="19" t="n"/>
      <c r="F13" s="19" t="n"/>
      <c r="G13" s="18">
        <f>I13*J13/10000</f>
        <v/>
      </c>
      <c r="H13" s="16" t="inlineStr">
        <is>
          <t>㎡</t>
        </is>
      </c>
      <c r="I13" s="20" t="n">
        <v>16128</v>
      </c>
      <c r="J13" s="20" t="n">
        <v>1530</v>
      </c>
      <c r="K13" s="17" t="inlineStr">
        <is>
          <t>2F钢结构</t>
        </is>
      </c>
      <c r="L13" s="21" t="n"/>
    </row>
    <row r="14">
      <c r="A14" s="16" t="inlineStr">
        <is>
          <t>1.7</t>
        </is>
      </c>
      <c r="B14" s="17" t="inlineStr">
        <is>
          <t>大宗物流仓 7#</t>
        </is>
      </c>
      <c r="C14" s="18">
        <f>G14</f>
        <v/>
      </c>
      <c r="D14" s="19" t="n"/>
      <c r="E14" s="19" t="n"/>
      <c r="F14" s="19" t="n"/>
      <c r="G14" s="18">
        <f>I14*J14/10000</f>
        <v/>
      </c>
      <c r="H14" s="16" t="inlineStr">
        <is>
          <t>㎡</t>
        </is>
      </c>
      <c r="I14" s="20" t="n">
        <v>16128</v>
      </c>
      <c r="J14" s="20" t="n">
        <v>1530</v>
      </c>
      <c r="K14" s="17" t="inlineStr">
        <is>
          <t>2F钢结构</t>
        </is>
      </c>
      <c r="L14" s="21" t="n"/>
    </row>
    <row r="15">
      <c r="A15" s="16" t="inlineStr">
        <is>
          <t>1.8</t>
        </is>
      </c>
      <c r="B15" s="17" t="inlineStr">
        <is>
          <t>大宗物流仓 8#</t>
        </is>
      </c>
      <c r="C15" s="18">
        <f>G15</f>
        <v/>
      </c>
      <c r="D15" s="19" t="n"/>
      <c r="E15" s="19" t="n"/>
      <c r="F15" s="19" t="n"/>
      <c r="G15" s="18">
        <f>I15*J15/10000</f>
        <v/>
      </c>
      <c r="H15" s="16" t="inlineStr">
        <is>
          <t>㎡</t>
        </is>
      </c>
      <c r="I15" s="20" t="n">
        <v>13440</v>
      </c>
      <c r="J15" s="20" t="n">
        <v>1530</v>
      </c>
      <c r="K15" s="17" t="inlineStr">
        <is>
          <t>2F钢结构</t>
        </is>
      </c>
      <c r="L15" s="21" t="n"/>
    </row>
    <row r="16">
      <c r="A16" s="16" t="inlineStr">
        <is>
          <t>1.9</t>
        </is>
      </c>
      <c r="B16" s="17" t="inlineStr">
        <is>
          <t>大宗物流仓 11#</t>
        </is>
      </c>
      <c r="C16" s="18">
        <f>G16</f>
        <v/>
      </c>
      <c r="D16" s="19" t="n"/>
      <c r="E16" s="19" t="n"/>
      <c r="F16" s="19" t="n"/>
      <c r="G16" s="18">
        <f>I16*J16/10000</f>
        <v/>
      </c>
      <c r="H16" s="16" t="inlineStr">
        <is>
          <t>㎡</t>
        </is>
      </c>
      <c r="I16" s="20" t="n">
        <v>6912</v>
      </c>
      <c r="J16" s="20" t="n">
        <v>1580</v>
      </c>
      <c r="K16" s="17" t="inlineStr">
        <is>
          <t>2F钢结构，小单体</t>
        </is>
      </c>
      <c r="L16" s="21" t="n"/>
    </row>
    <row r="17">
      <c r="A17" s="16" t="inlineStr">
        <is>
          <t>1.10</t>
        </is>
      </c>
      <c r="B17" s="17" t="inlineStr">
        <is>
          <t>冷库 9#</t>
        </is>
      </c>
      <c r="C17" s="18">
        <f>G17</f>
        <v/>
      </c>
      <c r="D17" s="19" t="n"/>
      <c r="E17" s="19" t="n"/>
      <c r="F17" s="19" t="n"/>
      <c r="G17" s="18">
        <f>I17*J17/10000</f>
        <v/>
      </c>
      <c r="H17" s="16" t="inlineStr">
        <is>
          <t>㎡</t>
        </is>
      </c>
      <c r="I17" s="20" t="n">
        <v>13440</v>
      </c>
      <c r="J17" s="20" t="n">
        <v>6800</v>
      </c>
      <c r="K17" s="17" t="inlineStr">
        <is>
          <t>2F，NH₃/CO₂复叠制冷，150mm PIR保温</t>
        </is>
      </c>
      <c r="L17" s="21" t="n"/>
    </row>
    <row r="18">
      <c r="A18" s="16" t="inlineStr">
        <is>
          <t>1.11</t>
        </is>
      </c>
      <c r="B18" s="17" t="inlineStr">
        <is>
          <t>中转仓 10#</t>
        </is>
      </c>
      <c r="C18" s="18">
        <f>G18</f>
        <v/>
      </c>
      <c r="D18" s="19" t="n"/>
      <c r="E18" s="19" t="n"/>
      <c r="F18" s="19" t="n"/>
      <c r="G18" s="18">
        <f>I18*J18/10000</f>
        <v/>
      </c>
      <c r="H18" s="16" t="inlineStr">
        <is>
          <t>㎡</t>
        </is>
      </c>
      <c r="I18" s="20" t="n">
        <v>6912</v>
      </c>
      <c r="J18" s="20" t="n">
        <v>1620</v>
      </c>
      <c r="K18" s="17" t="inlineStr">
        <is>
          <t>2F钢结构，含双侧月台</t>
        </is>
      </c>
      <c r="L18" s="21" t="n"/>
    </row>
    <row r="19">
      <c r="A19" s="16" t="inlineStr">
        <is>
          <t>1.12</t>
        </is>
      </c>
      <c r="B19" s="17" t="inlineStr">
        <is>
          <t>机修间</t>
        </is>
      </c>
      <c r="C19" s="18">
        <f>G19</f>
        <v/>
      </c>
      <c r="D19" s="19" t="n"/>
      <c r="E19" s="19" t="n"/>
      <c r="F19" s="19" t="n"/>
      <c r="G19" s="18">
        <f>I19*J19/10000</f>
        <v/>
      </c>
      <c r="H19" s="16" t="inlineStr">
        <is>
          <t>㎡</t>
        </is>
      </c>
      <c r="I19" s="20" t="n">
        <v>1008</v>
      </c>
      <c r="J19" s="20" t="n">
        <v>2200</v>
      </c>
      <c r="K19" s="17" t="inlineStr">
        <is>
          <t>1F钢结构</t>
        </is>
      </c>
      <c r="L19" s="21" t="n"/>
    </row>
    <row r="20">
      <c r="A20" s="16" t="inlineStr">
        <is>
          <t>1.13</t>
        </is>
      </c>
      <c r="B20" s="17" t="inlineStr">
        <is>
          <t>设备间</t>
        </is>
      </c>
      <c r="C20" s="18">
        <f>G20</f>
        <v/>
      </c>
      <c r="D20" s="19" t="n"/>
      <c r="E20" s="19" t="n"/>
      <c r="F20" s="19" t="n"/>
      <c r="G20" s="18">
        <f>I20*J20/10000</f>
        <v/>
      </c>
      <c r="H20" s="16" t="inlineStr">
        <is>
          <t>㎡</t>
        </is>
      </c>
      <c r="I20" s="20" t="n">
        <v>1008</v>
      </c>
      <c r="J20" s="20" t="n">
        <v>2200</v>
      </c>
      <c r="K20" s="17" t="inlineStr">
        <is>
          <t>1F钢结构</t>
        </is>
      </c>
      <c r="L20" s="21" t="n"/>
    </row>
    <row r="21">
      <c r="A21" s="16" t="inlineStr">
        <is>
          <t>1.14</t>
        </is>
      </c>
      <c r="B21" s="17" t="inlineStr">
        <is>
          <t>垃圾间</t>
        </is>
      </c>
      <c r="C21" s="18">
        <f>G21</f>
        <v/>
      </c>
      <c r="D21" s="19" t="n"/>
      <c r="E21" s="19" t="n"/>
      <c r="F21" s="19" t="n"/>
      <c r="G21" s="18">
        <f>I21*J21/10000</f>
        <v/>
      </c>
      <c r="H21" s="16" t="inlineStr">
        <is>
          <t>㎡</t>
        </is>
      </c>
      <c r="I21" s="20" t="n">
        <v>227</v>
      </c>
      <c r="J21" s="20" t="n">
        <v>1500</v>
      </c>
      <c r="K21" s="17" t="inlineStr">
        <is>
          <t>1F钢结构</t>
        </is>
      </c>
      <c r="L21" s="21" t="n"/>
    </row>
    <row r="22">
      <c r="A22" s="16" t="inlineStr">
        <is>
          <t>1.15</t>
        </is>
      </c>
      <c r="B22" s="17" t="inlineStr">
        <is>
          <t>防火涂料增项（一级耐火）</t>
        </is>
      </c>
      <c r="C22" s="18">
        <f>G22</f>
        <v/>
      </c>
      <c r="D22" s="19" t="n"/>
      <c r="E22" s="19" t="n"/>
      <c r="F22" s="19" t="n"/>
      <c r="G22" s="18">
        <f>I22*J22/10000</f>
        <v/>
      </c>
      <c r="H22" s="16" t="inlineStr">
        <is>
          <t>㎡</t>
        </is>
      </c>
      <c r="I22" s="20" t="n">
        <v>158819</v>
      </c>
      <c r="J22" s="20" t="n">
        <v>45</v>
      </c>
      <c r="K22" s="17" t="inlineStr">
        <is>
          <t>厚涂型防火涂料，钢结构一级耐火</t>
        </is>
      </c>
      <c r="L22" s="21" t="n"/>
    </row>
    <row r="23">
      <c r="A23" s="10" t="inlineStr">
        <is>
          <t>2</t>
        </is>
      </c>
      <c r="B23" s="11" t="inlineStr">
        <is>
          <t>安装工程</t>
        </is>
      </c>
      <c r="C23" s="12" t="n"/>
      <c r="D23" s="12" t="n"/>
      <c r="E23" s="12" t="n"/>
      <c r="F23" s="12" t="n"/>
      <c r="G23" s="13">
        <f>SUM(G24:G28)</f>
        <v/>
      </c>
      <c r="H23" s="14" t="n"/>
      <c r="I23" s="14" t="n"/>
      <c r="J23" s="14" t="n"/>
      <c r="K23" s="14" t="n"/>
      <c r="L23" s="15" t="n">
        <v>0.077</v>
      </c>
    </row>
    <row r="24">
      <c r="A24" s="16" t="inlineStr">
        <is>
          <t>2.1</t>
        </is>
      </c>
      <c r="B24" s="17" t="inlineStr">
        <is>
          <t>给排水工程</t>
        </is>
      </c>
      <c r="C24" s="19" t="n"/>
      <c r="D24" s="18">
        <f>G24</f>
        <v/>
      </c>
      <c r="E24" s="19" t="n"/>
      <c r="F24" s="19" t="n"/>
      <c r="G24" s="18">
        <f>I24*J24/10000</f>
        <v/>
      </c>
      <c r="H24" s="16" t="inlineStr">
        <is>
          <t>㎡</t>
        </is>
      </c>
      <c r="I24" s="20" t="n">
        <v>158819</v>
      </c>
      <c r="J24" s="20" t="n">
        <v>35</v>
      </c>
      <c r="K24" s="17" t="inlineStr">
        <is>
          <t>含雨污水管网、给水系统</t>
        </is>
      </c>
      <c r="L24" s="21" t="n"/>
    </row>
    <row r="25">
      <c r="A25" s="16" t="inlineStr">
        <is>
          <t>2.2</t>
        </is>
      </c>
      <c r="B25" s="17" t="inlineStr">
        <is>
          <t>供配电工程</t>
        </is>
      </c>
      <c r="C25" s="19" t="n"/>
      <c r="D25" s="18">
        <f>G25</f>
        <v/>
      </c>
      <c r="E25" s="19" t="n"/>
      <c r="F25" s="19" t="n"/>
      <c r="G25" s="18">
        <f>I25*J25/10000</f>
        <v/>
      </c>
      <c r="H25" s="16" t="inlineStr">
        <is>
          <t>㎡</t>
        </is>
      </c>
      <c r="I25" s="20" t="n">
        <v>158819</v>
      </c>
      <c r="J25" s="20" t="n">
        <v>88</v>
      </c>
      <c r="K25" s="17" t="inlineStr">
        <is>
          <t>含高低压配电、照明，冷库用电负荷增加</t>
        </is>
      </c>
      <c r="L25" s="21" t="n"/>
    </row>
    <row r="26">
      <c r="A26" s="16" t="inlineStr">
        <is>
          <t>2.3</t>
        </is>
      </c>
      <c r="B26" s="17" t="inlineStr">
        <is>
          <t>暖通工程</t>
        </is>
      </c>
      <c r="C26" s="19" t="n"/>
      <c r="D26" s="18">
        <f>G26</f>
        <v/>
      </c>
      <c r="E26" s="19" t="n"/>
      <c r="F26" s="19" t="n"/>
      <c r="G26" s="18">
        <f>I26*J26/10000</f>
        <v/>
      </c>
      <c r="H26" s="16" t="inlineStr">
        <is>
          <t>㎡</t>
        </is>
      </c>
      <c r="I26" s="20" t="n">
        <v>158819</v>
      </c>
      <c r="J26" s="20" t="n">
        <v>32</v>
      </c>
      <c r="K26" s="17" t="inlineStr">
        <is>
          <t>通风、排烟、冷库制冷管道</t>
        </is>
      </c>
      <c r="L26" s="21" t="n"/>
    </row>
    <row r="27">
      <c r="A27" s="16" t="inlineStr">
        <is>
          <t>2.4</t>
        </is>
      </c>
      <c r="B27" s="17" t="inlineStr">
        <is>
          <t>消防工程</t>
        </is>
      </c>
      <c r="C27" s="19" t="n"/>
      <c r="D27" s="18">
        <f>G27</f>
        <v/>
      </c>
      <c r="E27" s="19" t="n"/>
      <c r="F27" s="19" t="n"/>
      <c r="G27" s="18">
        <f>I27*J27/10000</f>
        <v/>
      </c>
      <c r="H27" s="16" t="inlineStr">
        <is>
          <t>㎡</t>
        </is>
      </c>
      <c r="I27" s="20" t="n">
        <v>158819</v>
      </c>
      <c r="J27" s="20" t="n">
        <v>125</v>
      </c>
      <c r="K27" s="17" t="inlineStr">
        <is>
          <t>一级耐火增项：含消火栓、ESFR喷淋、报警</t>
        </is>
      </c>
      <c r="L27" s="21" t="n"/>
    </row>
    <row r="28">
      <c r="A28" s="16" t="inlineStr">
        <is>
          <t>2.5</t>
        </is>
      </c>
      <c r="B28" s="17" t="inlineStr">
        <is>
          <t>智能化工程</t>
        </is>
      </c>
      <c r="C28" s="19" t="n"/>
      <c r="D28" s="18">
        <f>G28</f>
        <v/>
      </c>
      <c r="E28" s="19" t="n"/>
      <c r="F28" s="19" t="n"/>
      <c r="G28" s="18">
        <f>I28*J28/10000</f>
        <v/>
      </c>
      <c r="H28" s="16" t="inlineStr">
        <is>
          <t>㎡</t>
        </is>
      </c>
      <c r="I28" s="20" t="n">
        <v>158819</v>
      </c>
      <c r="J28" s="20" t="n">
        <v>42</v>
      </c>
      <c r="K28" s="17" t="inlineStr">
        <is>
          <t>含监控、网络、WMS基础设施</t>
        </is>
      </c>
      <c r="L28" s="21" t="n"/>
    </row>
    <row r="29">
      <c r="A29" s="10" t="inlineStr">
        <is>
          <t>3</t>
        </is>
      </c>
      <c r="B29" s="11" t="inlineStr">
        <is>
          <t>设备购置费</t>
        </is>
      </c>
      <c r="C29" s="12" t="n"/>
      <c r="D29" s="12" t="n"/>
      <c r="E29" s="12" t="n"/>
      <c r="F29" s="12" t="n"/>
      <c r="G29" s="13">
        <f>SUM(G30:G33)</f>
        <v/>
      </c>
      <c r="H29" s="14" t="n"/>
      <c r="I29" s="14" t="n"/>
      <c r="J29" s="14" t="n"/>
      <c r="K29" s="14" t="n"/>
      <c r="L29" s="15" t="n">
        <v>0.105</v>
      </c>
    </row>
    <row r="30">
      <c r="A30" s="16" t="inlineStr">
        <is>
          <t>3.1</t>
        </is>
      </c>
      <c r="B30" s="17" t="inlineStr">
        <is>
          <t>物流设备</t>
        </is>
      </c>
      <c r="C30" s="19" t="n"/>
      <c r="D30" s="19" t="n"/>
      <c r="E30" s="18">
        <f>G30</f>
        <v/>
      </c>
      <c r="F30" s="19" t="n"/>
      <c r="G30" s="18">
        <f>I30*J30/10000</f>
        <v/>
      </c>
      <c r="H30" s="16" t="inlineStr">
        <is>
          <t>项</t>
        </is>
      </c>
      <c r="I30" s="20" t="n">
        <v>1</v>
      </c>
      <c r="J30" s="20" t="n">
        <v>36060000</v>
      </c>
      <c r="K30" s="17" t="inlineStr">
        <is>
          <t>叉车+货架+货梯+托盘+地磅等（详见5.2.2）</t>
        </is>
      </c>
      <c r="L30" s="21" t="n"/>
    </row>
    <row r="31">
      <c r="A31" s="16" t="inlineStr">
        <is>
          <t>3.2</t>
        </is>
      </c>
      <c r="B31" s="17" t="inlineStr">
        <is>
          <t>冷链设备</t>
        </is>
      </c>
      <c r="C31" s="19" t="n"/>
      <c r="D31" s="19" t="n"/>
      <c r="E31" s="18">
        <f>G31</f>
        <v/>
      </c>
      <c r="F31" s="19" t="n"/>
      <c r="G31" s="18">
        <f>I31*J31/10000</f>
        <v/>
      </c>
      <c r="H31" s="16" t="inlineStr">
        <is>
          <t>项</t>
        </is>
      </c>
      <c r="I31" s="20" t="n">
        <v>1</v>
      </c>
      <c r="J31" s="20" t="n">
        <v>28320000</v>
      </c>
      <c r="K31" s="17" t="inlineStr">
        <is>
          <t>压缩机组+冷风机+冷凝器+冷库门（详见5.2.3）</t>
        </is>
      </c>
      <c r="L31" s="21" t="n"/>
    </row>
    <row r="32">
      <c r="A32" s="16" t="inlineStr">
        <is>
          <t>3.3</t>
        </is>
      </c>
      <c r="B32" s="17" t="inlineStr">
        <is>
          <t>信息化设备</t>
        </is>
      </c>
      <c r="C32" s="19" t="n"/>
      <c r="D32" s="19" t="n"/>
      <c r="E32" s="18">
        <f>G32</f>
        <v/>
      </c>
      <c r="F32" s="19" t="n"/>
      <c r="G32" s="18">
        <f>I32*J32/10000</f>
        <v/>
      </c>
      <c r="H32" s="16" t="inlineStr">
        <is>
          <t>项</t>
        </is>
      </c>
      <c r="I32" s="20" t="n">
        <v>1</v>
      </c>
      <c r="J32" s="20" t="n">
        <v>6560000</v>
      </c>
      <c r="K32" s="17" t="inlineStr">
        <is>
          <t>服务器+网络+监控+大屏+UPS（详见5.2.4）</t>
        </is>
      </c>
      <c r="L32" s="21" t="n"/>
    </row>
    <row r="33">
      <c r="A33" s="16" t="inlineStr">
        <is>
          <t>3.4</t>
        </is>
      </c>
      <c r="B33" s="17" t="inlineStr">
        <is>
          <t>充电桩</t>
        </is>
      </c>
      <c r="C33" s="19" t="n"/>
      <c r="D33" s="19" t="n"/>
      <c r="E33" s="18">
        <f>G33</f>
        <v/>
      </c>
      <c r="F33" s="19" t="n"/>
      <c r="G33" s="18">
        <f>I33*J33/10000</f>
        <v/>
      </c>
      <c r="H33" s="16" t="inlineStr">
        <is>
          <t>台</t>
        </is>
      </c>
      <c r="I33" s="20" t="n">
        <v>48</v>
      </c>
      <c r="J33" s="20" t="n">
        <v>4000</v>
      </c>
      <c r="K33" s="17" t="inlineStr">
        <is>
          <t>预留15%充电车位</t>
        </is>
      </c>
      <c r="L33" s="21" t="n"/>
    </row>
    <row r="34">
      <c r="A34" s="10" t="inlineStr">
        <is>
          <t>4</t>
        </is>
      </c>
      <c r="B34" s="11" t="inlineStr">
        <is>
          <t>室外配套工程</t>
        </is>
      </c>
      <c r="C34" s="12" t="n"/>
      <c r="D34" s="12" t="n"/>
      <c r="E34" s="12" t="n"/>
      <c r="F34" s="12" t="n"/>
      <c r="G34" s="13">
        <f>SUM(G35:G43)</f>
        <v/>
      </c>
      <c r="H34" s="14" t="n"/>
      <c r="I34" s="14" t="n"/>
      <c r="J34" s="14" t="n"/>
      <c r="K34" s="14" t="n"/>
      <c r="L34" s="15" t="n">
        <v>0.051</v>
      </c>
    </row>
    <row r="35">
      <c r="A35" s="16" t="inlineStr">
        <is>
          <t>4.1</t>
        </is>
      </c>
      <c r="B35" s="17" t="inlineStr">
        <is>
          <t>道路及硬化</t>
        </is>
      </c>
      <c r="C35" s="19" t="n"/>
      <c r="D35" s="19" t="n"/>
      <c r="E35" s="19" t="n"/>
      <c r="F35" s="18">
        <f>G35</f>
        <v/>
      </c>
      <c r="G35" s="18">
        <f>I35*J35/10000</f>
        <v/>
      </c>
      <c r="H35" s="16" t="inlineStr">
        <is>
          <t>㎡</t>
        </is>
      </c>
      <c r="I35" s="20" t="n">
        <v>72000</v>
      </c>
      <c r="J35" s="20" t="n">
        <v>285</v>
      </c>
      <c r="K35" s="17" t="inlineStr">
        <is>
          <t>含主干道(沥青)+次干道+支路(混凝土)</t>
        </is>
      </c>
      <c r="L35" s="21" t="n"/>
    </row>
    <row r="36">
      <c r="A36" s="16" t="inlineStr">
        <is>
          <t>4.2</t>
        </is>
      </c>
      <c r="B36" s="17" t="inlineStr">
        <is>
          <t>绿化工程</t>
        </is>
      </c>
      <c r="C36" s="19" t="n"/>
      <c r="D36" s="19" t="n"/>
      <c r="E36" s="19" t="n"/>
      <c r="F36" s="18">
        <f>G36</f>
        <v/>
      </c>
      <c r="G36" s="18">
        <f>I36*J36/10000</f>
        <v/>
      </c>
      <c r="H36" s="16" t="inlineStr">
        <is>
          <t>㎡</t>
        </is>
      </c>
      <c r="I36" s="20" t="n">
        <v>19650</v>
      </c>
      <c r="J36" s="20" t="n">
        <v>82</v>
      </c>
      <c r="K36" s="17" t="inlineStr">
        <is>
          <t>含行道树、绿地、海绵设施</t>
        </is>
      </c>
      <c r="L36" s="21" t="n"/>
    </row>
    <row r="37">
      <c r="A37" s="16" t="inlineStr">
        <is>
          <t>4.3</t>
        </is>
      </c>
      <c r="B37" s="17" t="inlineStr">
        <is>
          <t>货车停车场</t>
        </is>
      </c>
      <c r="C37" s="19" t="n"/>
      <c r="D37" s="19" t="n"/>
      <c r="E37" s="19" t="n"/>
      <c r="F37" s="18">
        <f>G37</f>
        <v/>
      </c>
      <c r="G37" s="18">
        <f>I37*J37/10000</f>
        <v/>
      </c>
      <c r="H37" s="16" t="inlineStr">
        <is>
          <t>㎡</t>
        </is>
      </c>
      <c r="I37" s="20" t="n">
        <v>10100</v>
      </c>
      <c r="J37" s="20" t="n">
        <v>320</v>
      </c>
      <c r="K37" s="17" t="inlineStr">
        <is>
          <t>C35重载混凝土</t>
        </is>
      </c>
      <c r="L37" s="21" t="n"/>
    </row>
    <row r="38">
      <c r="A38" s="16" t="inlineStr">
        <is>
          <t>4.4</t>
        </is>
      </c>
      <c r="B38" s="17" t="inlineStr">
        <is>
          <t>给排水外网</t>
        </is>
      </c>
      <c r="C38" s="19" t="n"/>
      <c r="D38" s="19" t="n"/>
      <c r="E38" s="19" t="n"/>
      <c r="F38" s="18">
        <f>G38</f>
        <v/>
      </c>
      <c r="G38" s="18">
        <f>I38*J38/10000</f>
        <v/>
      </c>
      <c r="H38" s="16" t="inlineStr">
        <is>
          <t>项</t>
        </is>
      </c>
      <c r="I38" s="20" t="n">
        <v>1</v>
      </c>
      <c r="J38" s="20" t="n">
        <v>5200000</v>
      </c>
      <c r="K38" s="17" t="inlineStr">
        <is>
          <t>接入市政管网，含消防管网</t>
        </is>
      </c>
      <c r="L38" s="21" t="n"/>
    </row>
    <row r="39">
      <c r="A39" s="16" t="inlineStr">
        <is>
          <t>4.5</t>
        </is>
      </c>
      <c r="B39" s="17" t="inlineStr">
        <is>
          <t>供配电外线</t>
        </is>
      </c>
      <c r="C39" s="19" t="n"/>
      <c r="D39" s="19" t="n"/>
      <c r="E39" s="19" t="n"/>
      <c r="F39" s="18">
        <f>G39</f>
        <v/>
      </c>
      <c r="G39" s="18">
        <f>I39*J39/10000</f>
        <v/>
      </c>
      <c r="H39" s="16" t="inlineStr">
        <is>
          <t>项</t>
        </is>
      </c>
      <c r="I39" s="20" t="n">
        <v>1</v>
      </c>
      <c r="J39" s="20" t="n">
        <v>3500000</v>
      </c>
      <c r="K39" s="17" t="inlineStr">
        <is>
          <t>10kV外线+箱变</t>
        </is>
      </c>
      <c r="L39" s="21" t="n"/>
    </row>
    <row r="40">
      <c r="A40" s="16" t="inlineStr">
        <is>
          <t>4.6</t>
        </is>
      </c>
      <c r="B40" s="17" t="inlineStr">
        <is>
          <t>围墙及大门</t>
        </is>
      </c>
      <c r="C40" s="19" t="n"/>
      <c r="D40" s="19" t="n"/>
      <c r="E40" s="19" t="n"/>
      <c r="F40" s="18">
        <f>G40</f>
        <v/>
      </c>
      <c r="G40" s="18">
        <f>I40*J40/10000</f>
        <v/>
      </c>
      <c r="H40" s="16" t="inlineStr">
        <is>
          <t>m</t>
        </is>
      </c>
      <c r="I40" s="20" t="n">
        <v>1800</v>
      </c>
      <c r="J40" s="20" t="n">
        <v>1200</v>
      </c>
      <c r="K40" s="17" t="inlineStr">
        <is>
          <t>2.5m砖砌+铁艺，4座电动门</t>
        </is>
      </c>
      <c r="L40" s="21" t="n"/>
    </row>
    <row r="41">
      <c r="A41" s="16" t="inlineStr">
        <is>
          <t>4.7</t>
        </is>
      </c>
      <c r="B41" s="17" t="inlineStr">
        <is>
          <t>海绵城市增量</t>
        </is>
      </c>
      <c r="C41" s="19" t="n"/>
      <c r="D41" s="19" t="n"/>
      <c r="E41" s="19" t="n"/>
      <c r="F41" s="18">
        <f>G41</f>
        <v/>
      </c>
      <c r="G41" s="18">
        <f>I41*J41/10000</f>
        <v/>
      </c>
      <c r="H41" s="16" t="inlineStr">
        <is>
          <t>项</t>
        </is>
      </c>
      <c r="I41" s="20" t="n">
        <v>1</v>
      </c>
      <c r="J41" s="20" t="n">
        <v>1800000</v>
      </c>
      <c r="K41" s="17" t="inlineStr">
        <is>
          <t>雨水花园+下凹绿地+透水铺装+调蓄池</t>
        </is>
      </c>
      <c r="L41" s="21" t="n"/>
    </row>
    <row r="42">
      <c r="A42" s="16" t="inlineStr">
        <is>
          <t>4.8</t>
        </is>
      </c>
      <c r="B42" s="17" t="inlineStr">
        <is>
          <t>绿色建筑增量</t>
        </is>
      </c>
      <c r="C42" s="19" t="n"/>
      <c r="D42" s="19" t="n"/>
      <c r="E42" s="19" t="n"/>
      <c r="F42" s="18">
        <f>G42</f>
        <v/>
      </c>
      <c r="G42" s="18">
        <f>I42*J42/10000</f>
        <v/>
      </c>
      <c r="H42" s="16" t="inlineStr">
        <is>
          <t>项</t>
        </is>
      </c>
      <c r="I42" s="20" t="n">
        <v>1</v>
      </c>
      <c r="J42" s="20" t="n">
        <v>1200000</v>
      </c>
      <c r="K42" s="17" t="inlineStr">
        <is>
          <t>一星级绿色建筑增量成本</t>
        </is>
      </c>
      <c r="L42" s="21" t="n"/>
    </row>
    <row r="43">
      <c r="A43" s="16" t="inlineStr">
        <is>
          <t>4.9</t>
        </is>
      </c>
      <c r="B43" s="17" t="inlineStr">
        <is>
          <t>室外综合管沟</t>
        </is>
      </c>
      <c r="C43" s="19" t="n"/>
      <c r="D43" s="19" t="n"/>
      <c r="E43" s="19" t="n"/>
      <c r="F43" s="18">
        <f>G43</f>
        <v/>
      </c>
      <c r="G43" s="18">
        <f>I43*J43/10000</f>
        <v/>
      </c>
      <c r="H43" s="16" t="inlineStr">
        <is>
          <t>m</t>
        </is>
      </c>
      <c r="I43" s="20" t="n">
        <v>2800</v>
      </c>
      <c r="J43" s="20" t="n">
        <v>350</v>
      </c>
      <c r="K43" s="17" t="inlineStr">
        <is>
          <t>给水/消防/电力/通信共沟</t>
        </is>
      </c>
      <c r="L43" s="21" t="n"/>
    </row>
    <row r="44">
      <c r="A44" s="5" t="inlineStr">
        <is>
          <t>二</t>
        </is>
      </c>
      <c r="B44" s="6" t="inlineStr">
        <is>
          <t>工程建设其他费</t>
        </is>
      </c>
      <c r="C44" s="22" t="n"/>
      <c r="D44" s="22" t="n"/>
      <c r="E44" s="22" t="n"/>
      <c r="F44" s="7">
        <f>G44</f>
        <v/>
      </c>
      <c r="G44" s="7">
        <f>SUM(G45:G57)</f>
        <v/>
      </c>
      <c r="H44" s="8" t="n"/>
      <c r="I44" s="8" t="n"/>
      <c r="J44" s="8" t="n"/>
      <c r="K44" s="8" t="n"/>
      <c r="L44" s="9" t="n">
        <v>0.141</v>
      </c>
    </row>
    <row r="45">
      <c r="A45" s="16" t="inlineStr">
        <is>
          <t>5</t>
        </is>
      </c>
      <c r="B45" s="17" t="inlineStr">
        <is>
          <t>土地取得费</t>
        </is>
      </c>
      <c r="C45" s="19" t="n"/>
      <c r="D45" s="19" t="n"/>
      <c r="E45" s="19" t="n"/>
      <c r="F45" s="18">
        <f>G45</f>
        <v/>
      </c>
      <c r="G45" s="18">
        <f>I45*J45/10000</f>
        <v/>
      </c>
      <c r="H45" s="16" t="inlineStr">
        <is>
          <t>亩</t>
        </is>
      </c>
      <c r="I45" s="20" t="n">
        <v>295</v>
      </c>
      <c r="J45" s="20" t="n">
        <v>180000</v>
      </c>
      <c r="K45" s="17" t="inlineStr">
        <is>
          <t>含土地出让金及税费，按180,000元/亩综合价</t>
        </is>
      </c>
      <c r="L45" s="23" t="n">
        <v>0.081</v>
      </c>
    </row>
    <row r="46">
      <c r="A46" s="16" t="inlineStr">
        <is>
          <t>6</t>
        </is>
      </c>
      <c r="B46" s="17" t="inlineStr">
        <is>
          <t>建设单位管理费</t>
        </is>
      </c>
      <c r="C46" s="19" t="n"/>
      <c r="D46" s="19" t="n"/>
      <c r="E46" s="19" t="n"/>
      <c r="F46" s="18" t="n">
        <v>530</v>
      </c>
      <c r="G46" s="18">
        <f>F46</f>
        <v/>
      </c>
      <c r="H46" s="21" t="n"/>
      <c r="I46" s="21" t="n"/>
      <c r="J46" s="21" t="n"/>
      <c r="K46" s="17" t="inlineStr">
        <is>
          <t>财建〔2016〕504号阶梯费率</t>
        </is>
      </c>
      <c r="L46" s="23" t="n">
        <v>0.008</v>
      </c>
    </row>
    <row r="47">
      <c r="A47" s="16" t="inlineStr">
        <is>
          <t>7</t>
        </is>
      </c>
      <c r="B47" s="17" t="inlineStr">
        <is>
          <t>勘察设计费</t>
        </is>
      </c>
      <c r="C47" s="19" t="n"/>
      <c r="D47" s="19" t="n"/>
      <c r="E47" s="19" t="n"/>
      <c r="F47" s="18" t="n">
        <v>1193</v>
      </c>
      <c r="G47" s="18">
        <f>F47</f>
        <v/>
      </c>
      <c r="H47" s="21" t="n"/>
      <c r="I47" s="21" t="n"/>
      <c r="J47" s="21" t="n"/>
      <c r="K47" s="17" t="inlineStr">
        <is>
          <t>工程费用×2.5%</t>
        </is>
      </c>
      <c r="L47" s="23" t="n">
        <v>0.018</v>
      </c>
    </row>
    <row r="48">
      <c r="A48" s="16" t="inlineStr">
        <is>
          <t>8</t>
        </is>
      </c>
      <c r="B48" s="17" t="inlineStr">
        <is>
          <t>工程监理费</t>
        </is>
      </c>
      <c r="C48" s="19" t="n"/>
      <c r="D48" s="19" t="n"/>
      <c r="E48" s="19" t="n"/>
      <c r="F48" s="18" t="n">
        <v>716</v>
      </c>
      <c r="G48" s="18">
        <f>F48</f>
        <v/>
      </c>
      <c r="H48" s="21" t="n"/>
      <c r="I48" s="21" t="n"/>
      <c r="J48" s="21" t="n"/>
      <c r="K48" s="17" t="inlineStr">
        <is>
          <t>发改价格〔2007〕670号插入法</t>
        </is>
      </c>
      <c r="L48" s="23" t="n">
        <v>0.011</v>
      </c>
    </row>
    <row r="49">
      <c r="A49" s="16" t="inlineStr">
        <is>
          <t>9</t>
        </is>
      </c>
      <c r="B49" s="17" t="inlineStr">
        <is>
          <t>全过程造价咨询</t>
        </is>
      </c>
      <c r="C49" s="19" t="n"/>
      <c r="D49" s="19" t="n"/>
      <c r="E49" s="19" t="n"/>
      <c r="F49" s="18" t="n">
        <v>140</v>
      </c>
      <c r="G49" s="18">
        <f>F49</f>
        <v/>
      </c>
      <c r="H49" s="21" t="n"/>
      <c r="I49" s="21" t="n"/>
      <c r="J49" s="21" t="n"/>
      <c r="K49" s="17" t="inlineStr">
        <is>
          <t>含概算编制、全过程造价控制、结算审核</t>
        </is>
      </c>
      <c r="L49" s="23" t="n">
        <v>0.002</v>
      </c>
    </row>
    <row r="50">
      <c r="A50" s="16" t="inlineStr">
        <is>
          <t>10</t>
        </is>
      </c>
      <c r="B50" s="17" t="inlineStr">
        <is>
          <t>招标代理费</t>
        </is>
      </c>
      <c r="C50" s="19" t="n"/>
      <c r="D50" s="19" t="n"/>
      <c r="E50" s="19" t="n"/>
      <c r="F50" s="18" t="n">
        <v>95</v>
      </c>
      <c r="G50" s="18">
        <f>F50</f>
        <v/>
      </c>
      <c r="H50" s="21" t="n"/>
      <c r="I50" s="21" t="n"/>
      <c r="J50" s="21" t="n"/>
      <c r="K50" s="17" t="inlineStr">
        <is>
          <t>6个标段招标代理</t>
        </is>
      </c>
      <c r="L50" s="23" t="n">
        <v>0.001</v>
      </c>
    </row>
    <row r="51">
      <c r="A51" s="16" t="inlineStr">
        <is>
          <t>11</t>
        </is>
      </c>
      <c r="B51" s="17" t="inlineStr">
        <is>
          <t>前期工作咨询费</t>
        </is>
      </c>
      <c r="C51" s="19" t="n"/>
      <c r="D51" s="19" t="n"/>
      <c r="E51" s="19" t="n"/>
      <c r="F51" s="18" t="n">
        <v>150</v>
      </c>
      <c r="G51" s="18">
        <f>F51</f>
        <v/>
      </c>
      <c r="H51" s="21" t="n"/>
      <c r="I51" s="21" t="n"/>
      <c r="J51" s="21" t="n"/>
      <c r="K51" s="17" t="inlineStr">
        <is>
          <t>可研编制、环评、水保、节能评估</t>
        </is>
      </c>
      <c r="L51" s="23" t="n">
        <v>0.002</v>
      </c>
    </row>
    <row r="52">
      <c r="A52" s="16" t="inlineStr">
        <is>
          <t>12</t>
        </is>
      </c>
      <c r="B52" s="17" t="inlineStr">
        <is>
          <t>专项评价费</t>
        </is>
      </c>
      <c r="C52" s="19" t="n"/>
      <c r="D52" s="19" t="n"/>
      <c r="E52" s="19" t="n"/>
      <c r="F52" s="18" t="n">
        <v>160</v>
      </c>
      <c r="G52" s="18">
        <f>F52</f>
        <v/>
      </c>
      <c r="H52" s="21" t="n"/>
      <c r="I52" s="21" t="n"/>
      <c r="J52" s="21" t="n"/>
      <c r="K52" s="17" t="inlineStr">
        <is>
          <t>地震安评、地灾评估、职业病危害预评价</t>
        </is>
      </c>
      <c r="L52" s="23" t="n">
        <v>0.002</v>
      </c>
    </row>
    <row r="53">
      <c r="A53" s="16" t="inlineStr">
        <is>
          <t>13</t>
        </is>
      </c>
      <c r="B53" s="17" t="inlineStr">
        <is>
          <t>工程保险费</t>
        </is>
      </c>
      <c r="C53" s="19" t="n"/>
      <c r="D53" s="19" t="n"/>
      <c r="E53" s="19" t="n"/>
      <c r="F53" s="18" t="n">
        <v>143</v>
      </c>
      <c r="G53" s="18">
        <f>F53</f>
        <v/>
      </c>
      <c r="H53" s="21" t="n"/>
      <c r="I53" s="21" t="n"/>
      <c r="J53" s="21" t="n"/>
      <c r="K53" s="17" t="inlineStr">
        <is>
          <t>工程费用×0.3%</t>
        </is>
      </c>
      <c r="L53" s="23" t="n">
        <v>0.002</v>
      </c>
    </row>
    <row r="54">
      <c r="A54" s="16" t="inlineStr">
        <is>
          <t>14</t>
        </is>
      </c>
      <c r="B54" s="17" t="inlineStr">
        <is>
          <t>城市基础设施配套费</t>
        </is>
      </c>
      <c r="C54" s="19" t="n"/>
      <c r="D54" s="19" t="n"/>
      <c r="E54" s="19" t="n"/>
      <c r="F54" s="18" t="n">
        <v>318</v>
      </c>
      <c r="G54" s="18">
        <f>F54</f>
        <v/>
      </c>
      <c r="H54" s="21" t="n"/>
      <c r="I54" s="21" t="n"/>
      <c r="J54" s="21" t="n"/>
      <c r="K54" s="17" t="inlineStr">
        <is>
          <t>按当地标准（158,819㎡×20元/㎡）</t>
        </is>
      </c>
      <c r="L54" s="23" t="n">
        <v>0.005</v>
      </c>
    </row>
    <row r="55">
      <c r="A55" s="16" t="inlineStr">
        <is>
          <t>15</t>
        </is>
      </c>
      <c r="B55" s="17" t="inlineStr">
        <is>
          <t>BIM技术应用费</t>
        </is>
      </c>
      <c r="C55" s="19" t="n"/>
      <c r="D55" s="19" t="n"/>
      <c r="E55" s="19" t="n"/>
      <c r="F55" s="18" t="n">
        <v>127</v>
      </c>
      <c r="G55" s="18">
        <f>F55</f>
        <v/>
      </c>
      <c r="H55" s="21" t="n"/>
      <c r="I55" s="21" t="n"/>
      <c r="J55" s="21" t="n"/>
      <c r="K55" s="17" t="inlineStr">
        <is>
          <t>设计+BIM+运维基础模型</t>
        </is>
      </c>
      <c r="L55" s="23" t="n">
        <v>0.002</v>
      </c>
    </row>
    <row r="56">
      <c r="A56" s="16" t="inlineStr">
        <is>
          <t>16</t>
        </is>
      </c>
      <c r="B56" s="17" t="inlineStr">
        <is>
          <t>临时设施费</t>
        </is>
      </c>
      <c r="C56" s="19" t="n"/>
      <c r="D56" s="19" t="n"/>
      <c r="E56" s="19" t="n"/>
      <c r="F56" s="18" t="n">
        <v>238</v>
      </c>
      <c r="G56" s="18">
        <f>F56</f>
        <v/>
      </c>
      <c r="H56" s="21" t="n"/>
      <c r="I56" s="21" t="n"/>
      <c r="J56" s="21" t="n"/>
      <c r="K56" s="17" t="inlineStr">
        <is>
          <t>工程费用×0.5%，施工临时水电道路围挡</t>
        </is>
      </c>
      <c r="L56" s="23" t="n">
        <v>0.004</v>
      </c>
    </row>
    <row r="57">
      <c r="A57" s="16" t="inlineStr">
        <is>
          <t>17</t>
        </is>
      </c>
      <c r="B57" s="17" t="inlineStr">
        <is>
          <t>检验检测费</t>
        </is>
      </c>
      <c r="C57" s="19" t="n"/>
      <c r="D57" s="19" t="n"/>
      <c r="E57" s="19" t="n"/>
      <c r="F57" s="18" t="n">
        <v>95</v>
      </c>
      <c r="G57" s="18">
        <f>F57</f>
        <v/>
      </c>
      <c r="H57" s="21" t="n"/>
      <c r="I57" s="21" t="n"/>
      <c r="J57" s="21" t="n"/>
      <c r="K57" s="17" t="inlineStr">
        <is>
          <t>地基检测+钢结构探伤+消防检测+防雷检测</t>
        </is>
      </c>
      <c r="L57" s="23" t="n">
        <v>0.001</v>
      </c>
    </row>
    <row r="58">
      <c r="A58" s="5" t="inlineStr">
        <is>
          <t>三</t>
        </is>
      </c>
      <c r="B58" s="6" t="inlineStr">
        <is>
          <t>预备费</t>
        </is>
      </c>
      <c r="C58" s="22" t="n"/>
      <c r="D58" s="22" t="n"/>
      <c r="E58" s="22" t="n"/>
      <c r="F58" s="7">
        <f>G58</f>
        <v/>
      </c>
      <c r="G58" s="7">
        <f>ROUND((G6+G44)*0.08, 2)</f>
        <v/>
      </c>
      <c r="H58" s="8" t="n"/>
      <c r="I58" s="8" t="n"/>
      <c r="J58" s="8" t="n"/>
      <c r="K58" s="8" t="n"/>
      <c r="L58" s="9" t="n">
        <v>0.07000000000000001</v>
      </c>
    </row>
    <row r="59">
      <c r="A59" s="16" t="inlineStr">
        <is>
          <t>18</t>
        </is>
      </c>
      <c r="B59" s="17" t="inlineStr">
        <is>
          <t>基本预备费</t>
        </is>
      </c>
      <c r="C59" s="19" t="n"/>
      <c r="D59" s="19" t="n"/>
      <c r="E59" s="19" t="n"/>
      <c r="F59" s="18">
        <f>ROUND((G6+G44)*0.08, 2)</f>
        <v/>
      </c>
      <c r="G59" s="18">
        <f>ROUND((G6+G44)*0.08, 2)</f>
        <v/>
      </c>
      <c r="H59" s="21" t="n"/>
      <c r="I59" s="21" t="n"/>
      <c r="J59" s="21" t="n"/>
      <c r="K59" s="17" t="inlineStr">
        <is>
          <t>(工程费用+工程建设其他费)×8%</t>
        </is>
      </c>
      <c r="L59" s="23" t="n">
        <v>0.07000000000000001</v>
      </c>
    </row>
    <row r="60">
      <c r="A60" s="5" t="inlineStr">
        <is>
          <t>四</t>
        </is>
      </c>
      <c r="B60" s="6" t="inlineStr">
        <is>
          <t>建设期利息</t>
        </is>
      </c>
      <c r="C60" s="22" t="n"/>
      <c r="D60" s="22" t="n"/>
      <c r="E60" s="22" t="n"/>
      <c r="F60" s="7">
        <f>G60</f>
        <v/>
      </c>
      <c r="G60" s="7">
        <f>G61</f>
        <v/>
      </c>
      <c r="H60" s="8" t="n"/>
      <c r="I60" s="8" t="n"/>
      <c r="J60" s="8" t="n"/>
      <c r="K60" s="8" t="n"/>
      <c r="L60" s="9" t="n">
        <v>0.026</v>
      </c>
    </row>
    <row r="61">
      <c r="A61" s="16" t="inlineStr">
        <is>
          <t>19</t>
        </is>
      </c>
      <c r="B61" s="17" t="inlineStr">
        <is>
          <t>建设期融资利息</t>
        </is>
      </c>
      <c r="C61" s="19" t="n"/>
      <c r="D61" s="19" t="n"/>
      <c r="E61" s="19" t="n"/>
      <c r="F61" s="18" t="n">
        <v>1680</v>
      </c>
      <c r="G61" s="18">
        <f>F61</f>
        <v/>
      </c>
      <c r="H61" s="21" t="n"/>
      <c r="I61" s="21" t="n"/>
      <c r="J61" s="21" t="n"/>
      <c r="K61" s="17" t="inlineStr">
        <is>
          <t>按融资30,000万元×2.8%×2年（平均）</t>
        </is>
      </c>
      <c r="L61" s="23" t="n">
        <v>0.026</v>
      </c>
    </row>
    <row r="62">
      <c r="A62" s="10" t="inlineStr">
        <is>
          <t>五</t>
        </is>
      </c>
      <c r="B62" s="11" t="inlineStr">
        <is>
          <t>项目总投资</t>
        </is>
      </c>
      <c r="C62" s="12" t="n"/>
      <c r="D62" s="12" t="n"/>
      <c r="E62" s="12" t="n"/>
      <c r="F62" s="12" t="n"/>
      <c r="G62" s="13">
        <f>G6+G44+G58+G60</f>
        <v/>
      </c>
      <c r="H62" s="14" t="n"/>
      <c r="I62" s="14" t="n"/>
      <c r="J62" s="14" t="n"/>
      <c r="K62" s="14" t="n"/>
      <c r="L62" s="15" t="n">
        <v>0.9620000000000001</v>
      </c>
    </row>
    <row r="63">
      <c r="A63" s="16" t="n"/>
      <c r="B63" s="17" t="inlineStr">
        <is>
          <t>铺底流动资金</t>
        </is>
      </c>
      <c r="C63" s="19" t="n"/>
      <c r="D63" s="19" t="n"/>
      <c r="E63" s="19" t="n"/>
      <c r="F63" s="18" t="n">
        <v>2500</v>
      </c>
      <c r="G63" s="18">
        <f>F63</f>
        <v/>
      </c>
      <c r="H63" s="21" t="n"/>
      <c r="I63" s="21" t="n"/>
      <c r="J63" s="21" t="n"/>
      <c r="K63" s="17" t="inlineStr">
        <is>
          <t>按运营初期3个月运营成本估算</t>
        </is>
      </c>
      <c r="L63" s="23" t="n">
        <v>0.038</v>
      </c>
    </row>
    <row r="64">
      <c r="A64" s="10" t="inlineStr">
        <is>
          <t>六</t>
        </is>
      </c>
      <c r="B64" s="11" t="inlineStr">
        <is>
          <t>项目总资金</t>
        </is>
      </c>
      <c r="C64" s="12" t="n"/>
      <c r="D64" s="12" t="n"/>
      <c r="E64" s="12" t="n"/>
      <c r="F64" s="12" t="n"/>
      <c r="G64" s="13">
        <f>G62+G63</f>
        <v/>
      </c>
      <c r="H64" s="14" t="n"/>
      <c r="I64" s="14" t="n"/>
      <c r="J64" s="14" t="n"/>
      <c r="K64" s="14" t="n"/>
      <c r="L64" s="15" t="n">
        <v>1</v>
      </c>
    </row>
  </sheetData>
  <mergeCells count="8">
    <mergeCell ref="A2:L2"/>
    <mergeCell ref="C4:G4"/>
    <mergeCell ref="B4:B5"/>
    <mergeCell ref="A4:A5"/>
    <mergeCell ref="A1:L1"/>
    <mergeCell ref="H4:J4"/>
    <mergeCell ref="K4:K5"/>
    <mergeCell ref="L4:L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" customWidth="1" min="1" max="1"/>
    <col width="88" customWidth="1" min="2" max="2"/>
  </cols>
  <sheetData>
    <row r="1">
      <c r="A1" s="24" t="inlineStr">
        <is>
          <t>投资估算编制说明（修订版）</t>
        </is>
      </c>
    </row>
    <row r="3">
      <c r="A3" s="25" t="inlineStr">
        <is>
          <t>一、</t>
        </is>
      </c>
      <c r="B3" s="26" t="inlineStr">
        <is>
          <t>编制依据</t>
        </is>
      </c>
    </row>
    <row r="4">
      <c r="A4" s="26" t="inlineStr"/>
      <c r="B4" s="26" t="inlineStr">
        <is>
          <t>1. 本项目总平面图（黄许一期，2026.05.27 t8版）及建构筑物一览表——设计院施工图阶段设计文件</t>
        </is>
      </c>
    </row>
    <row r="5">
      <c r="A5" s="26" t="inlineStr"/>
      <c r="B5" s="26" t="inlineStr">
        <is>
          <t>2. 德阳市2025年上半年建设工程造价指数（183.16，以2005年为基期）</t>
        </is>
      </c>
    </row>
    <row r="6">
      <c r="A6" s="26" t="inlineStr"/>
      <c r="B6" s="26" t="inlineStr">
        <is>
          <t>3. 《四川省建设工程工程量清单计价定额》（2020版）</t>
        </is>
      </c>
    </row>
    <row r="7">
      <c r="A7" s="26" t="inlineStr"/>
      <c r="B7" s="26" t="inlineStr">
        <is>
          <t>4. 国家发展改革委《建设项目投资估算编审规程》（CECA/GC1）</t>
        </is>
      </c>
    </row>
    <row r="8">
      <c r="A8" s="26" t="inlineStr"/>
      <c r="B8" s="26" t="inlineStr">
        <is>
          <t>5. 《物资集散中心和陆港仓库建设规范》（T/SDTLA 0001-2024）</t>
        </is>
      </c>
    </row>
    <row r="9">
      <c r="A9" s="26" t="inlineStr"/>
      <c r="B9" s="26" t="inlineStr">
        <is>
          <t>6. 同类项目：德阳蓉欧冷链运营中心（已建成）、芜湖裕溪口多式联运基地（2025年招标）、德阳临港制造产业园（在建）</t>
        </is>
      </c>
    </row>
    <row r="10">
      <c r="A10" s="26" t="inlineStr"/>
      <c r="B10" s="26" t="inlineStr">
        <is>
          <t>7. 设备价格：2025年市场询价及同类项目采购参考</t>
        </is>
      </c>
    </row>
    <row r="11">
      <c r="A11" s="26" t="inlineStr"/>
      <c r="B11" s="26" t="inlineStr"/>
    </row>
    <row r="12">
      <c r="A12" s="25" t="inlineStr">
        <is>
          <t>二、</t>
        </is>
      </c>
      <c r="B12" s="26" t="inlineStr">
        <is>
          <t>主要取费标准</t>
        </is>
      </c>
    </row>
    <row r="13">
      <c r="A13" s="26" t="inlineStr"/>
      <c r="B13" s="26" t="inlineStr">
        <is>
          <t>· 建设单位管理费：财建〔2016〕504号，阶梯费率 → 530万元</t>
        </is>
      </c>
    </row>
    <row r="14">
      <c r="A14" s="26" t="inlineStr"/>
      <c r="B14" s="26" t="inlineStr">
        <is>
          <t>· 工程监理费：发改价格〔2007〕670号插入法 → 716万元</t>
        </is>
      </c>
    </row>
    <row r="15">
      <c r="A15" s="26" t="inlineStr"/>
      <c r="B15" s="26" t="inlineStr">
        <is>
          <t>· 勘察设计费：工程费用×2.5% → 1,193万元</t>
        </is>
      </c>
    </row>
    <row r="16">
      <c r="A16" s="26" t="inlineStr"/>
      <c r="B16" s="26" t="inlineStr">
        <is>
          <t>· 基本预备费：(工程费用+工程建设其他费)×8% → 4,554万元</t>
        </is>
      </c>
    </row>
    <row r="17">
      <c r="A17" s="26" t="inlineStr"/>
      <c r="B17" s="26" t="inlineStr">
        <is>
          <t>· 土地取得费：按180,000元/亩综合价（含出让金及税费），295亩 → 5,310万元</t>
        </is>
      </c>
    </row>
    <row r="18">
      <c r="A18" s="26" t="inlineStr"/>
      <c r="B18" s="26" t="inlineStr">
        <is>
          <t>· 建设期利息：按融资30,000万元×2.8%×2年（平均） → 1,680万元</t>
        </is>
      </c>
    </row>
    <row r="19">
      <c r="A19" s="26" t="inlineStr"/>
      <c r="B19" s="26" t="inlineStr">
        <is>
          <t>· 城市基础设施配套费：158,819㎡×20元/㎡ → 318万元</t>
        </is>
      </c>
    </row>
    <row r="20">
      <c r="A20" s="26" t="inlineStr"/>
      <c r="B20" s="26" t="inlineStr"/>
    </row>
    <row r="21">
      <c r="A21" s="25" t="inlineStr">
        <is>
          <t>三、</t>
        </is>
      </c>
      <c r="B21" s="26" t="inlineStr">
        <is>
          <t>主要单价指标来源</t>
        </is>
      </c>
    </row>
    <row r="22">
      <c r="A22" s="26" t="inlineStr"/>
      <c r="B22" s="26" t="inlineStr">
        <is>
          <t>· 2F钢结构物流仓 1,530~1,580元/㎡ — 增加二层楼面+货梯坡道土建+一级耐火，较单层方案+110~160元/㎡</t>
        </is>
      </c>
    </row>
    <row r="23">
      <c r="A23" s="26" t="inlineStr"/>
      <c r="B23" s="26" t="inlineStr">
        <is>
          <t>· 2F冷库（含保温+NH₃/CO₂复叠制冷）6,800元/㎡ — 规模13,440㎡，较旧版+300元/㎡</t>
        </is>
      </c>
    </row>
    <row r="24">
      <c r="A24" s="26" t="inlineStr"/>
      <c r="B24" s="26" t="inlineStr">
        <is>
          <t>· 2F中转仓（含双侧月台）1,620元/㎡</t>
        </is>
      </c>
    </row>
    <row r="25">
      <c r="A25" s="26" t="inlineStr"/>
      <c r="B25" s="26" t="inlineStr">
        <is>
          <t>· 消防工程（一级耐火）125元/㎡ — 一级耐火较二级+25元/㎡</t>
        </is>
      </c>
    </row>
    <row r="26">
      <c r="A26" s="26" t="inlineStr"/>
      <c r="B26" s="26" t="inlineStr">
        <is>
          <t>· 海绵城市增量 180万元 — 雨水花园+下凹绿地+透水铺装+调蓄池</t>
        </is>
      </c>
    </row>
    <row r="27">
      <c r="A27" s="26" t="inlineStr"/>
      <c r="B27" s="26" t="inlineStr">
        <is>
          <t>· 绿色建筑增量 120万元 — 一星级绿色建筑（GB/T 50378-2019）</t>
        </is>
      </c>
    </row>
    <row r="28">
      <c r="A28" s="26" t="inlineStr"/>
      <c r="B28" s="26" t="inlineStr">
        <is>
          <t>· 防火涂料增项 45元/㎡ — 厚涂型，钢结构一级耐火（钢柱≥3h）</t>
        </is>
      </c>
    </row>
    <row r="29">
      <c r="A29" s="26" t="inlineStr"/>
      <c r="B29" s="26" t="inlineStr"/>
    </row>
    <row r="30">
      <c r="A30" s="25" t="inlineStr">
        <is>
          <t>四、</t>
        </is>
      </c>
      <c r="B30" s="26" t="inlineStr">
        <is>
          <t>与旧版主要差异</t>
        </is>
      </c>
    </row>
    <row r="31">
      <c r="A31" s="26" t="inlineStr"/>
      <c r="B31" s="26" t="inlineStr">
        <is>
          <t>① 仓库由单层→双层钢结构门式刚架（1F→2F，建筑高度23.8m）</t>
        </is>
      </c>
    </row>
    <row r="32">
      <c r="A32" s="26" t="inlineStr"/>
      <c r="B32" s="26" t="inlineStr">
        <is>
          <t>② 耐火等级由二级→一级（消防工程单价100→125元/㎡，新增防火涂料715万元）</t>
        </is>
      </c>
    </row>
    <row r="33">
      <c r="A33" s="26" t="inlineStr"/>
      <c r="B33" s="26" t="inlineStr">
        <is>
          <t>③ 冷库面积由8,000→13,440㎡（+68%），设备规模相应增加</t>
        </is>
      </c>
    </row>
    <row r="34">
      <c r="A34" s="26" t="inlineStr"/>
      <c r="B34" s="26" t="inlineStr">
        <is>
          <t>④ 新增20台货梯（5t贯通式，500万元），充电桩48台（19万元）</t>
        </is>
      </c>
    </row>
    <row r="35">
      <c r="A35" s="26" t="inlineStr"/>
      <c r="B35" s="26" t="inlineStr">
        <is>
          <t>⑤ 新增海绵城市（180万元）+ 绿色建筑（120万元）+ BIM（127万元）</t>
        </is>
      </c>
    </row>
    <row r="36">
      <c r="A36" s="26" t="inlineStr"/>
      <c r="B36" s="26" t="inlineStr">
        <is>
          <t>⑥ 项目总资金由52,400→65,656万元，增幅约25.3%</t>
        </is>
      </c>
    </row>
    <row r="37">
      <c r="A37" s="26" t="inlineStr"/>
      <c r="B37" s="26" t="inlineStr"/>
    </row>
    <row r="38">
      <c r="A38" s="25" t="inlineStr">
        <is>
          <t>五、</t>
        </is>
      </c>
      <c r="B38" s="26" t="inlineStr">
        <is>
          <t>待确认事项</t>
        </is>
      </c>
    </row>
    <row r="39">
      <c r="A39" s="26" t="inlineStr"/>
      <c r="B39" s="26" t="inlineStr">
        <is>
          <t>① 土地出让金实际价格（暂按18万/亩综合价，需以自然资源部门评估价为准）</t>
        </is>
      </c>
    </row>
    <row r="40">
      <c r="A40" s="26" t="inlineStr"/>
      <c r="B40" s="26" t="inlineStr">
        <is>
          <t>② 冷库NH₃/CO₂复叠制冷系统的最终设备选型和价格（暂按国产+进口组合估算）</t>
        </is>
      </c>
    </row>
    <row r="41">
      <c r="A41" s="26" t="inlineStr"/>
      <c r="B41" s="26" t="inlineStr">
        <is>
          <t>③ 详勘后地基基础形式（如有软土层需增加桩基费用约500~800万元）</t>
        </is>
      </c>
    </row>
    <row r="42">
      <c r="A42" s="26" t="inlineStr"/>
      <c r="B42" s="26" t="inlineStr">
        <is>
          <t>④ 建设期利息按融资3亿元×2.8%×2年估算，实际利率以融资方案确定</t>
        </is>
      </c>
    </row>
    <row r="43">
      <c r="A43" s="26" t="inlineStr"/>
      <c r="B43" s="26" t="inlineStr">
        <is>
          <t>⑤ BIM应用深度（暂按基础建模+施工应用，若增加运维BIM需追加约80万元）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>
      <c r="A1" s="24" t="inlineStr">
        <is>
          <t>德阳物流基地（黄许一期）— 投资构成分析</t>
        </is>
      </c>
    </row>
    <row r="3">
      <c r="A3" s="27" t="inlineStr">
        <is>
          <t>构成项目</t>
        </is>
      </c>
      <c r="B3" s="27" t="inlineStr">
        <is>
          <t>金额（万元）</t>
        </is>
      </c>
      <c r="C3" s="27" t="inlineStr">
        <is>
          <t>占比</t>
        </is>
      </c>
    </row>
    <row r="4">
      <c r="A4" s="28" t="inlineStr">
        <is>
          <t>一、工程费用</t>
        </is>
      </c>
      <c r="B4" s="29">
        <f>投资估算表!G6</f>
        <v/>
      </c>
      <c r="C4" s="30">
        <f>投资估算表!G6/投资估算表!G64</f>
        <v/>
      </c>
    </row>
    <row r="5">
      <c r="A5" s="31" t="inlineStr">
        <is>
          <t xml:space="preserve">  1. 建筑工程</t>
        </is>
      </c>
      <c r="B5" s="20">
        <f>投资估算表!G7</f>
        <v/>
      </c>
      <c r="C5" s="30">
        <f>投资估算表!G7/投资估算表!G64</f>
        <v/>
      </c>
    </row>
    <row r="6">
      <c r="A6" s="31" t="inlineStr">
        <is>
          <t xml:space="preserve">  2. 安装工程</t>
        </is>
      </c>
      <c r="B6" s="20">
        <f>投资估算表!G23</f>
        <v/>
      </c>
      <c r="C6" s="30">
        <f>投资估算表!G23/投资估算表!G64</f>
        <v/>
      </c>
    </row>
    <row r="7">
      <c r="A7" s="31" t="inlineStr">
        <is>
          <t xml:space="preserve">  3. 设备购置费</t>
        </is>
      </c>
      <c r="B7" s="20">
        <f>投资估算表!G29</f>
        <v/>
      </c>
      <c r="C7" s="30">
        <f>投资估算表!G29/投资估算表!G64</f>
        <v/>
      </c>
    </row>
    <row r="8">
      <c r="A8" s="31" t="inlineStr">
        <is>
          <t xml:space="preserve">  4. 室外配套工程</t>
        </is>
      </c>
      <c r="B8" s="20">
        <f>投资估算表!G34</f>
        <v/>
      </c>
      <c r="C8" s="30">
        <f>投资估算表!G34/投资估算表!G64</f>
        <v/>
      </c>
    </row>
    <row r="9">
      <c r="A9" s="28" t="inlineStr">
        <is>
          <t>二、工程建设其他费</t>
        </is>
      </c>
      <c r="B9" s="29">
        <f>投资估算表!G44</f>
        <v/>
      </c>
      <c r="C9" s="30">
        <f>投资估算表!G44/投资估算表!G64</f>
        <v/>
      </c>
    </row>
    <row r="10">
      <c r="A10" s="28" t="inlineStr">
        <is>
          <t>三、预备费</t>
        </is>
      </c>
      <c r="B10" s="29">
        <f>投资估算表!G58</f>
        <v/>
      </c>
      <c r="C10" s="30">
        <f>投资估算表!G58/投资估算表!G64</f>
        <v/>
      </c>
    </row>
    <row r="11">
      <c r="A11" s="28" t="inlineStr">
        <is>
          <t>四、建设期利息</t>
        </is>
      </c>
      <c r="B11" s="29">
        <f>投资估算表!G60</f>
        <v/>
      </c>
      <c r="C11" s="30">
        <f>投资估算表!G60/投资估算表!G64</f>
        <v/>
      </c>
    </row>
    <row r="12">
      <c r="A12" s="28" t="inlineStr">
        <is>
          <t>五、铺底流动资金</t>
        </is>
      </c>
      <c r="B12" s="29">
        <f>投资估算表!G63</f>
        <v/>
      </c>
      <c r="C12" s="30">
        <f>投资估算表!G63/投资估算表!G64</f>
        <v/>
      </c>
    </row>
    <row r="13">
      <c r="A13" s="28" t="inlineStr">
        <is>
          <t>项目总资金</t>
        </is>
      </c>
      <c r="B13" s="29">
        <f>投资估算表!G64</f>
        <v/>
      </c>
      <c r="C13" s="30" t="n">
        <v>1</v>
      </c>
    </row>
    <row r="16">
      <c r="A16" s="24" t="inlineStr">
        <is>
          <t>主要技术经济指标</t>
        </is>
      </c>
    </row>
    <row r="17">
      <c r="A17" s="28" t="inlineStr">
        <is>
          <t>建设用地面积</t>
        </is>
      </c>
      <c r="B17" s="31" t="inlineStr">
        <is>
          <t>196,481 ㎡（约295亩）</t>
        </is>
      </c>
      <c r="C17" s="32" t="n"/>
    </row>
    <row r="18">
      <c r="A18" s="28" t="inlineStr">
        <is>
          <t>总建筑面积</t>
        </is>
      </c>
      <c r="B18" s="31" t="inlineStr">
        <is>
          <t>158,819 ㎡</t>
        </is>
      </c>
      <c r="C18" s="32" t="n"/>
    </row>
    <row r="19">
      <c r="A19" s="28" t="inlineStr">
        <is>
          <t>计容建筑面积</t>
        </is>
      </c>
      <c r="B19" s="31" t="inlineStr">
        <is>
          <t>317,411 ㎡</t>
        </is>
      </c>
      <c r="C19" s="32" t="n"/>
    </row>
    <row r="20">
      <c r="A20" s="28" t="inlineStr">
        <is>
          <t>容积率</t>
        </is>
      </c>
      <c r="B20" s="31" t="inlineStr">
        <is>
          <t>1.615</t>
        </is>
      </c>
      <c r="C20" s="32" t="n"/>
    </row>
    <row r="21">
      <c r="A21" s="28" t="inlineStr">
        <is>
          <t>建筑密度</t>
        </is>
      </c>
      <c r="B21" s="31" t="inlineStr">
        <is>
          <t>40.99%</t>
        </is>
      </c>
      <c r="C21" s="32" t="n"/>
    </row>
    <row r="22">
      <c r="A22" s="28" t="inlineStr">
        <is>
          <t>绿地率</t>
        </is>
      </c>
      <c r="B22" s="31" t="inlineStr">
        <is>
          <t>10.00%</t>
        </is>
      </c>
      <c r="C22" s="32" t="n"/>
    </row>
    <row r="23">
      <c r="A23" s="28" t="inlineStr">
        <is>
          <t>亩均投资</t>
        </is>
      </c>
      <c r="B23" s="31" t="inlineStr">
        <is>
          <t>222.5 万元/亩</t>
        </is>
      </c>
      <c r="C23" s="32" t="n"/>
    </row>
    <row r="24">
      <c r="A24" s="28" t="inlineStr">
        <is>
          <t>单位建筑面积综合投资</t>
        </is>
      </c>
      <c r="B24" s="31" t="inlineStr">
        <is>
          <t>4,134 元/㎡</t>
        </is>
      </c>
      <c r="C24" s="32" t="n"/>
    </row>
  </sheetData>
  <mergeCells count="10">
    <mergeCell ref="B21:C21"/>
    <mergeCell ref="B24:C24"/>
    <mergeCell ref="A1:C1"/>
    <mergeCell ref="B19:C19"/>
    <mergeCell ref="B20:C20"/>
    <mergeCell ref="B23:C23"/>
    <mergeCell ref="B22:C22"/>
    <mergeCell ref="B17:C17"/>
    <mergeCell ref="B18:C1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2026-06-20T07:42:39Z</dcterms:created>
  <dcterms:modified xmlns:dcterms="http://purl.org/dc/terms/" xmlns:xsi="http://www.w3.org/2001/XMLSchema-instance" xsi:type="dcterms:W3CDTF">2026-06-20T07:42:39Z</dcterms:modified>
</cp:coreProperties>
</file>